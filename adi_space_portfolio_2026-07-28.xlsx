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namedSheetViews/namedSheetView1.xml" ContentType="application/vnd.ms-excel.namedsheetview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fine\Downloads\"/>
    </mc:Choice>
  </mc:AlternateContent>
  <xr:revisionPtr revIDLastSave="0" documentId="8_{5DFE535F-5267-4255-AA53-8ED1C009774F}" xr6:coauthVersionLast="47" xr6:coauthVersionMax="47" xr10:uidLastSave="{00000000-0000-0000-0000-000000000000}"/>
  <bookViews>
    <workbookView xWindow="-120" yWindow="-120" windowWidth="38640" windowHeight="21120" xr2:uid="{077E7AD4-31AD-4B88-94FB-51EFDE1CBEA9}"/>
  </bookViews>
  <sheets>
    <sheet name="ADI Space Qualified Parts" sheetId="8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299" i="8" l="1"/>
  <c r="S497" i="8"/>
  <c r="S238" i="8"/>
  <c r="S236" i="8"/>
  <c r="S448" i="8"/>
  <c r="S506" i="8"/>
  <c r="S552" i="8"/>
  <c r="S518" i="8"/>
  <c r="S488" i="8"/>
  <c r="S480" i="8"/>
  <c r="S469" i="8"/>
  <c r="S454" i="8"/>
  <c r="S59" i="8"/>
  <c r="S539" i="8"/>
  <c r="S505" i="8"/>
  <c r="S277" i="8"/>
  <c r="S276" i="8"/>
  <c r="S554" i="8"/>
  <c r="S551" i="8"/>
  <c r="S548" i="8"/>
  <c r="S550" i="8"/>
  <c r="S549" i="8"/>
  <c r="S547" i="8"/>
  <c r="S546" i="8"/>
  <c r="S545" i="8"/>
  <c r="S544" i="8"/>
  <c r="S542" i="8"/>
  <c r="S537" i="8"/>
  <c r="S541" i="8"/>
  <c r="S540" i="8"/>
  <c r="S538" i="8"/>
  <c r="S528" i="8"/>
  <c r="S530" i="8"/>
  <c r="S531" i="8"/>
  <c r="S529" i="8"/>
  <c r="S527" i="8"/>
  <c r="S526" i="8"/>
  <c r="S520" i="8"/>
  <c r="S521" i="8"/>
  <c r="S517" i="8"/>
  <c r="S513" i="8"/>
  <c r="S515" i="8"/>
  <c r="S514" i="8"/>
  <c r="S510" i="8"/>
  <c r="S509" i="8"/>
  <c r="S508" i="8"/>
  <c r="S507" i="8"/>
  <c r="S504" i="8"/>
  <c r="S502" i="8"/>
  <c r="S501" i="8"/>
  <c r="S500" i="8"/>
  <c r="S499" i="8"/>
  <c r="S498" i="8"/>
  <c r="S496" i="8"/>
  <c r="S495" i="8"/>
  <c r="S494" i="8"/>
  <c r="S492" i="8"/>
  <c r="S489" i="8"/>
  <c r="S491" i="8"/>
  <c r="S490" i="8"/>
  <c r="S487" i="8"/>
  <c r="S486" i="8"/>
  <c r="S481" i="8"/>
  <c r="S479" i="8"/>
  <c r="S478" i="8"/>
  <c r="S475" i="8"/>
  <c r="S477" i="8"/>
  <c r="S476" i="8"/>
  <c r="S474" i="8"/>
  <c r="S466" i="8"/>
  <c r="S468" i="8"/>
  <c r="S467" i="8"/>
  <c r="S465" i="8"/>
  <c r="S459" i="8"/>
  <c r="S460" i="8"/>
  <c r="S458" i="8"/>
  <c r="S457" i="8"/>
  <c r="S456" i="8"/>
  <c r="S451" i="8"/>
  <c r="S453" i="8"/>
  <c r="S452" i="8"/>
  <c r="S445" i="8"/>
  <c r="S447" i="8"/>
  <c r="S446" i="8"/>
  <c r="S441" i="8"/>
  <c r="S443" i="8"/>
  <c r="S444" i="8"/>
  <c r="S442" i="8"/>
  <c r="S435" i="8"/>
  <c r="S434" i="8"/>
  <c r="S437" i="8"/>
  <c r="S436" i="8"/>
  <c r="S424" i="8"/>
  <c r="S418" i="8"/>
  <c r="S413" i="8"/>
  <c r="S412" i="8"/>
  <c r="S411" i="8"/>
  <c r="S407" i="8"/>
  <c r="S408" i="8"/>
  <c r="S402" i="8"/>
  <c r="S401" i="8"/>
  <c r="S399" i="8"/>
  <c r="S400" i="8"/>
  <c r="S398" i="8"/>
  <c r="S391" i="8"/>
  <c r="S390" i="8"/>
  <c r="S384" i="8"/>
  <c r="S374" i="8"/>
  <c r="S373" i="8"/>
  <c r="S366" i="8"/>
  <c r="S367" i="8"/>
  <c r="S355" i="8"/>
  <c r="S357" i="8"/>
  <c r="S356" i="8"/>
  <c r="S354" i="8"/>
  <c r="S353" i="8"/>
  <c r="S352" i="8"/>
  <c r="S351" i="8"/>
  <c r="S340" i="8"/>
  <c r="S339" i="8"/>
  <c r="S330" i="8"/>
  <c r="S327" i="8"/>
  <c r="S328" i="8"/>
  <c r="S326" i="8"/>
  <c r="S325" i="8"/>
  <c r="S324" i="8"/>
  <c r="S319" i="8"/>
  <c r="S320" i="8"/>
  <c r="S316" i="8"/>
  <c r="S315" i="8"/>
  <c r="S313" i="8"/>
  <c r="S312" i="8"/>
  <c r="S311" i="8"/>
  <c r="S314" i="8"/>
  <c r="S303" i="8"/>
  <c r="S300" i="8"/>
  <c r="S298" i="8"/>
  <c r="S297" i="8"/>
  <c r="S296" i="8"/>
  <c r="S295" i="8"/>
  <c r="S281" i="8"/>
  <c r="S265" i="8"/>
  <c r="S263" i="8"/>
  <c r="S254" i="8"/>
  <c r="S253" i="8"/>
  <c r="S248" i="8"/>
  <c r="S247" i="8"/>
  <c r="S239" i="8"/>
  <c r="S237" i="8"/>
  <c r="S235" i="8"/>
  <c r="S234" i="8"/>
  <c r="S227" i="8"/>
  <c r="S207" i="8"/>
  <c r="S205" i="8"/>
  <c r="S201" i="8"/>
  <c r="S200" i="8"/>
  <c r="S198" i="8"/>
  <c r="S192" i="8"/>
  <c r="S184" i="8"/>
  <c r="S180" i="8"/>
  <c r="S179" i="8"/>
  <c r="S178" i="8"/>
  <c r="S173" i="8"/>
  <c r="S168" i="8"/>
  <c r="S167" i="8"/>
  <c r="S165" i="8"/>
  <c r="S159" i="8"/>
  <c r="S158" i="8"/>
  <c r="S157" i="8"/>
  <c r="S154" i="8"/>
  <c r="S143" i="8"/>
  <c r="S140" i="8"/>
  <c r="S137" i="8"/>
  <c r="S134" i="8"/>
  <c r="S131" i="8"/>
  <c r="S129" i="8"/>
  <c r="S126" i="8"/>
  <c r="S125" i="8"/>
  <c r="S124" i="8"/>
  <c r="S123" i="8"/>
  <c r="S122" i="8"/>
  <c r="S121" i="8"/>
  <c r="S120" i="8"/>
  <c r="S119" i="8"/>
  <c r="S118" i="8"/>
  <c r="S117" i="8"/>
  <c r="S116" i="8"/>
  <c r="S115" i="8"/>
  <c r="S114" i="8"/>
  <c r="S113" i="8"/>
  <c r="S112" i="8"/>
  <c r="S111" i="8"/>
  <c r="S109" i="8"/>
  <c r="S108" i="8"/>
  <c r="S107" i="8"/>
  <c r="S106" i="8"/>
  <c r="S102" i="8"/>
  <c r="S100" i="8"/>
  <c r="S99" i="8"/>
  <c r="S98" i="8"/>
  <c r="S91" i="8"/>
  <c r="S90" i="8"/>
  <c r="S89" i="8"/>
  <c r="S88" i="8"/>
  <c r="S85" i="8"/>
  <c r="S82" i="8"/>
  <c r="S79" i="8"/>
  <c r="S76" i="8"/>
  <c r="S73" i="8"/>
  <c r="S70" i="8"/>
  <c r="S67" i="8"/>
  <c r="S64" i="8"/>
  <c r="S63" i="8"/>
  <c r="S55" i="8"/>
  <c r="S53" i="8"/>
  <c r="S50" i="8"/>
  <c r="S49" i="8"/>
  <c r="S48" i="8"/>
  <c r="S52" i="8"/>
  <c r="S51" i="8"/>
  <c r="S47" i="8"/>
  <c r="S45" i="8"/>
  <c r="S34" i="8"/>
  <c r="S32" i="8"/>
  <c r="S31" i="8"/>
  <c r="S24" i="8"/>
  <c r="S19" i="8"/>
  <c r="S15" i="8"/>
  <c r="S14" i="8"/>
  <c r="S13" i="8"/>
  <c r="S8" i="8"/>
  <c r="S9" i="8"/>
  <c r="S6" i="8"/>
  <c r="S5" i="8"/>
  <c r="S7" i="8"/>
</calcChain>
</file>

<file path=xl/sharedStrings.xml><?xml version="1.0" encoding="utf-8"?>
<sst xmlns="http://schemas.openxmlformats.org/spreadsheetml/2006/main" count="9708" uniqueCount="1773">
  <si>
    <t xml:space="preserve">                                   Analog Devices Space-Qualified Product Portfolio</t>
  </si>
  <si>
    <t xml:space="preserve">Last Modified Date: </t>
  </si>
  <si>
    <t>* Radiation Performance not guaranteed on non-RHA models</t>
  </si>
  <si>
    <r>
      <rPr>
        <vertAlign val="superscript"/>
        <sz val="11"/>
        <color theme="1"/>
        <rFont val="Aptos Narrow"/>
        <family val="2"/>
      </rPr>
      <t>ǂ</t>
    </r>
    <r>
      <rPr>
        <sz val="11"/>
        <color theme="1"/>
        <rFont val="Aptos Narrow"/>
        <family val="2"/>
      </rPr>
      <t xml:space="preserve"> Radiation threshold is not necessarily the limit of performance, may simply be the highest level tested</t>
    </r>
  </si>
  <si>
    <t>Generic Part Number</t>
  </si>
  <si>
    <t>Description</t>
  </si>
  <si>
    <t>Orderable Material Number</t>
  </si>
  <si>
    <t>Category</t>
  </si>
  <si>
    <t>Sub-Category</t>
  </si>
  <si>
    <r>
      <t xml:space="preserve">Space Qualification Level
</t>
    </r>
    <r>
      <rPr>
        <sz val="11"/>
        <color theme="0"/>
        <rFont val="Aptos Narrow"/>
        <family val="2"/>
      </rPr>
      <t>(Note: ASD, CSH and CSL are ADI flows, see analog.com/space for details)</t>
    </r>
  </si>
  <si>
    <t>Operating 
Temperature</t>
  </si>
  <si>
    <t>Production Radiation Hardness Assurance (RHA)</t>
  </si>
  <si>
    <r>
      <t xml:space="preserve">TID Threshold  </t>
    </r>
    <r>
      <rPr>
        <b/>
        <vertAlign val="superscript"/>
        <sz val="11"/>
        <color theme="0"/>
        <rFont val="Aptos Narrow"/>
        <family val="2"/>
      </rPr>
      <t>ǂ</t>
    </r>
    <r>
      <rPr>
        <b/>
        <sz val="11"/>
        <color theme="0"/>
        <rFont val="Aptos Narrow"/>
        <family val="2"/>
      </rPr>
      <t xml:space="preserve"> </t>
    </r>
    <r>
      <rPr>
        <sz val="11"/>
        <color theme="0"/>
        <rFont val="Aptos Narrow"/>
        <family val="2"/>
      </rPr>
      <t>(kRad)</t>
    </r>
  </si>
  <si>
    <t>TID 
Report</t>
  </si>
  <si>
    <r>
      <t xml:space="preserve">SEL Threshold </t>
    </r>
    <r>
      <rPr>
        <b/>
        <vertAlign val="superscript"/>
        <sz val="11"/>
        <color theme="0"/>
        <rFont val="Aptos Narrow"/>
        <family val="2"/>
      </rPr>
      <t>ǂ</t>
    </r>
    <r>
      <rPr>
        <b/>
        <sz val="11"/>
        <color theme="0"/>
        <rFont val="Aptos Narrow"/>
        <family val="2"/>
      </rPr>
      <t xml:space="preserve"> 
</t>
    </r>
    <r>
      <rPr>
        <sz val="11"/>
        <color theme="0"/>
        <rFont val="Aptos Narrow"/>
        <family val="2"/>
      </rPr>
      <t>(MeV*cm2/mg)</t>
    </r>
  </si>
  <si>
    <t>SEE
Report</t>
  </si>
  <si>
    <r>
      <t xml:space="preserve">Displacement Damage (TNID) Threshold  </t>
    </r>
    <r>
      <rPr>
        <b/>
        <vertAlign val="superscript"/>
        <sz val="11"/>
        <color theme="0"/>
        <rFont val="Aptos Narrow"/>
        <family val="2"/>
      </rPr>
      <t>ǂ</t>
    </r>
    <r>
      <rPr>
        <b/>
        <sz val="11"/>
        <color theme="0"/>
        <rFont val="Aptos Narrow"/>
        <family val="2"/>
      </rPr>
      <t xml:space="preserve">
</t>
    </r>
    <r>
      <rPr>
        <sz val="11"/>
        <color theme="0"/>
        <rFont val="Aptos Narrow"/>
        <family val="2"/>
      </rPr>
      <t>(n/cm^2)</t>
    </r>
  </si>
  <si>
    <t>Displacement Damage Report</t>
  </si>
  <si>
    <t>Package</t>
  </si>
  <si>
    <t>Package Material</t>
  </si>
  <si>
    <t>Lead Finish</t>
  </si>
  <si>
    <t>Datasheet URL</t>
  </si>
  <si>
    <t>AD1671S</t>
  </si>
  <si>
    <t>Aerospace 12-Bit 1.25 MSPS ADC</t>
  </si>
  <si>
    <t>AD16710703D</t>
  </si>
  <si>
    <t>PRECISION A/D CONVERTERS</t>
  </si>
  <si>
    <t>Single Channel A/D Converters</t>
  </si>
  <si>
    <t>ASD Model (MIL-PRF-38535 Class V with Exceptions)</t>
  </si>
  <si>
    <t>-55°C to 125°C</t>
  </si>
  <si>
    <t>No</t>
  </si>
  <si>
    <t>100 (non-RHA)</t>
  </si>
  <si>
    <t xml:space="preserve">ad1671-hdr.pdf </t>
  </si>
  <si>
    <t>Not performed</t>
  </si>
  <si>
    <t>28-Lead Side-Brazed Ceramic Dual In-Line Package [SBDIP]</t>
  </si>
  <si>
    <t>Ceramic/Metal</t>
  </si>
  <si>
    <t>SnPb</t>
  </si>
  <si>
    <t>D-28-2</t>
  </si>
  <si>
    <t>AD16710703F</t>
  </si>
  <si>
    <t>28-Lead bottom-brazed flatpack</t>
  </si>
  <si>
    <t>F-28-1</t>
  </si>
  <si>
    <t>AD1671F-EMX</t>
  </si>
  <si>
    <t>n/a - Engineering Model</t>
  </si>
  <si>
    <t>n/a</t>
  </si>
  <si>
    <t>Gold</t>
  </si>
  <si>
    <t>AD1672S</t>
  </si>
  <si>
    <t>Aerospace 12-Bit 3 MSPS ADC</t>
  </si>
  <si>
    <t>AD16720703F</t>
  </si>
  <si>
    <t>-40°C to 125°C</t>
  </si>
  <si>
    <t xml:space="preserve">ad1672-hdr.pdf </t>
  </si>
  <si>
    <t>AD1672F-EMX</t>
  </si>
  <si>
    <t>AD524S</t>
  </si>
  <si>
    <t>Aerospace Instrumentation Amplifier</t>
  </si>
  <si>
    <t>5962R8853901V2A</t>
  </si>
  <si>
    <t>PRECISION AMPLIFIERS</t>
  </si>
  <si>
    <t>Instrumentation Amplifiers</t>
  </si>
  <si>
    <t>MIL-PRF-38535 Class V</t>
  </si>
  <si>
    <t>Yes</t>
  </si>
  <si>
    <t>AD524S HDR .xls</t>
  </si>
  <si>
    <t>20-Terminal Ceramic Leadless Chip Carrier [LCC]</t>
  </si>
  <si>
    <t>Ceramic</t>
  </si>
  <si>
    <t xml:space="preserve">e-20-1 </t>
  </si>
  <si>
    <t>https://landandmaritimeapps.dla.mil/Downloads/MilSpec/Smd/88539.pdf</t>
  </si>
  <si>
    <t>5962R8853901VEA</t>
  </si>
  <si>
    <t>16-Lead Ceramic Dual In-Line Package [CERDIP]</t>
  </si>
  <si>
    <t>Q-16</t>
  </si>
  <si>
    <t>AD534S</t>
  </si>
  <si>
    <t>Aerospace Internally Trimmed Precision IC Multiplier</t>
  </si>
  <si>
    <t>5962-9053701VCA</t>
  </si>
  <si>
    <t>ANALOG FUNCTIONS</t>
  </si>
  <si>
    <t>Analog Multipliers &amp; Dividers</t>
  </si>
  <si>
    <t>50 (non-RHA)</t>
  </si>
  <si>
    <t>AD534S_LDR</t>
  </si>
  <si>
    <t>14-Lead Ceramic Dual In-Line Package [CERDIP]</t>
  </si>
  <si>
    <t>Q-14</t>
  </si>
  <si>
    <t>https://landandmaritimeapps.dla.mil/Downloads/MilSpec/Smd/90537.pdf</t>
  </si>
  <si>
    <t>AD5340000C</t>
  </si>
  <si>
    <t>MIL-PRF-38534 Class K</t>
  </si>
  <si>
    <t>Die</t>
  </si>
  <si>
    <t>AD537S</t>
  </si>
  <si>
    <t>Aerospace Voltage to Frequency Converter, ±30V to 150kHz</t>
  </si>
  <si>
    <t>AD5370703D</t>
  </si>
  <si>
    <t>INTEGRATED A/D CONVERTERS</t>
  </si>
  <si>
    <t>Voltage to Frequency Converters</t>
  </si>
  <si>
    <t>AD561S</t>
  </si>
  <si>
    <t>Aerospace 10-Bit, Current Output DAC</t>
  </si>
  <si>
    <t>AD5610000C</t>
  </si>
  <si>
    <t>PRECISION D/A CONVERTERS</t>
  </si>
  <si>
    <t>Multiplying Current Output D/A Converters</t>
  </si>
  <si>
    <t>AD565S</t>
  </si>
  <si>
    <t>Aerospace 12-Bit, Current Output, Complete High Speed DAC</t>
  </si>
  <si>
    <t>5962-9689201VJA</t>
  </si>
  <si>
    <t>200 (non-RHA)</t>
  </si>
  <si>
    <t>AD565S_HDR</t>
  </si>
  <si>
    <t>24-Lead Ceramic Dual In-Line Package [CERDIP]</t>
  </si>
  <si>
    <t>Q-24-2</t>
  </si>
  <si>
    <t>https://landandmaritimeapps.dla.mil/Downloads/MilSpec/Smd/96892.pdf</t>
  </si>
  <si>
    <t>5962-9689202VJA</t>
  </si>
  <si>
    <t>AD571S</t>
  </si>
  <si>
    <t>Aerospace 10-Bit Complete Analog to Digital Converter</t>
  </si>
  <si>
    <t>5962-8680203VVA</t>
  </si>
  <si>
    <t>AD571S_HDR</t>
  </si>
  <si>
    <t>18-Lead Ceramic Dual In-Line Package [CERDIP]</t>
  </si>
  <si>
    <t>Q-18</t>
  </si>
  <si>
    <t>https://landandmaritimeapps.dla.mil/Downloads/MilSpec/Smd/86802.pdf</t>
  </si>
  <si>
    <t>AD5710000C</t>
  </si>
  <si>
    <t>AD574S</t>
  </si>
  <si>
    <t>Aerospace 12-Bit-ADC w/Microprocessor Interface</t>
  </si>
  <si>
    <t>5962R8512701VXA</t>
  </si>
  <si>
    <t>AD574S_HDR_.pdf</t>
  </si>
  <si>
    <t>AD574S_SEL_.pdf</t>
  </si>
  <si>
    <t>28-Lead Ceramic Dual In-Line Package [CERDIP]</t>
  </si>
  <si>
    <t>Q-28-2</t>
  </si>
  <si>
    <t>https://landandmaritimeapps.dla.mil/Downloads/MilSpec/Smd/85127.pdf</t>
  </si>
  <si>
    <t>5962R8512701VZA</t>
  </si>
  <si>
    <t>28-Lead Ceramic Flat Package [FLATPACK]</t>
  </si>
  <si>
    <t>f-28-1</t>
  </si>
  <si>
    <t>5962R8512702VXA</t>
  </si>
  <si>
    <t>5962R8512702VZA</t>
  </si>
  <si>
    <t>AD574AUF-EMX</t>
  </si>
  <si>
    <t>28-Lead Flat Pack</t>
  </si>
  <si>
    <t>AD584S</t>
  </si>
  <si>
    <t>Aerospace Pin Programmable Precision Voltage Reference</t>
  </si>
  <si>
    <t>5962-3812801VGA</t>
  </si>
  <si>
    <t>Series Voltage References</t>
  </si>
  <si>
    <t>AD584S_HDR</t>
  </si>
  <si>
    <t>8-Lead Can</t>
  </si>
  <si>
    <t>Metal</t>
  </si>
  <si>
    <t>h-08-1</t>
  </si>
  <si>
    <t>https://landandmaritimeapps.dla.mil/Downloads/MilSpec/Smd/38128.pdf</t>
  </si>
  <si>
    <t>5962-3812802VGA</t>
  </si>
  <si>
    <t>5962L3812805VGA</t>
  </si>
  <si>
    <t>AD584S_LDR</t>
  </si>
  <si>
    <t>5962R3812801VGA</t>
  </si>
  <si>
    <t>5962R3812802VGA</t>
  </si>
  <si>
    <t>AD585S</t>
  </si>
  <si>
    <t>Aerospace High Speed, Precision Sample-and-Hold Amplifier</t>
  </si>
  <si>
    <t>AD585-703M</t>
  </si>
  <si>
    <t>Sample/Track and Hold Amplifiers</t>
  </si>
  <si>
    <t xml:space="preserve">ad585-hdr.pdf </t>
  </si>
  <si>
    <t>ad585_dd.xlsm</t>
  </si>
  <si>
    <t>F-14-1</t>
  </si>
  <si>
    <t>AD585-713M</t>
  </si>
  <si>
    <t>AD589S</t>
  </si>
  <si>
    <t>Aerospace Precision 1.2 Volt IC Reference</t>
  </si>
  <si>
    <t>5962-8992901VXA</t>
  </si>
  <si>
    <t>Shunt Voltage References</t>
  </si>
  <si>
    <t>2-Pin Metal Header Package [TO-51]</t>
  </si>
  <si>
    <t>H-02-1</t>
  </si>
  <si>
    <t>https://landandmaritimeapps.dla.mil/Downloads/MilSpec/Smd/89929.pdf</t>
  </si>
  <si>
    <t>AD589-000C</t>
  </si>
  <si>
    <t>AD590S</t>
  </si>
  <si>
    <t>Aerospace 2 Terminal Temperature Transducer, 1uA/°K</t>
  </si>
  <si>
    <t>5962L8757105VYA</t>
  </si>
  <si>
    <t>SENSORS</t>
  </si>
  <si>
    <t>Analog Temperature Sensors</t>
  </si>
  <si>
    <t>AD590_LDR.xlsx</t>
  </si>
  <si>
    <t>3-Pin Metal Header Package</t>
  </si>
  <si>
    <t>H-03-1</t>
  </si>
  <si>
    <t>https://landandmaritimeapps.dla.mil/Downloads/MilSpec/Smd/87571.pdf</t>
  </si>
  <si>
    <t>5962R8757103VXA</t>
  </si>
  <si>
    <t>AD590S HDR .xls</t>
  </si>
  <si>
    <t>2-Lead Ceramic Flat Package [FLATPACK]</t>
  </si>
  <si>
    <t>F-2</t>
  </si>
  <si>
    <t>5962R8757103VYA</t>
  </si>
  <si>
    <t>5962R8757104VXA</t>
  </si>
  <si>
    <t>5962R8757104VXC</t>
  </si>
  <si>
    <t>5962R8757104VYA</t>
  </si>
  <si>
    <t>AD648S</t>
  </si>
  <si>
    <t>Aerospace Dual Precision, Low Power BiFET Op Amp</t>
  </si>
  <si>
    <t>5962-9753501VGA</t>
  </si>
  <si>
    <t>Low Input Bias Current Op Amps (≤100 pA)</t>
  </si>
  <si>
    <t xml:space="preserve">ad648-ldr.pdf </t>
  </si>
  <si>
    <t>https://landandmaritimeapps.dla.mil/Downloads/MilSpec/Smd/97535.pdf</t>
  </si>
  <si>
    <t>5962-9753501VPA</t>
  </si>
  <si>
    <t>8-Lead Ceramic Dual In-Line Package [CERDIP]</t>
  </si>
  <si>
    <t>q-8</t>
  </si>
  <si>
    <t>5962-9753502VGA</t>
  </si>
  <si>
    <t>5962-9753502VPA</t>
  </si>
  <si>
    <t>AD648-000C</t>
  </si>
  <si>
    <t>AD652S</t>
  </si>
  <si>
    <t>Aerospace Monolithic Synchronous Voltage-to-Frequency Converter</t>
  </si>
  <si>
    <t>5962-9322201VEA</t>
  </si>
  <si>
    <t>16-Lead Side Brazed (Hermetic)</t>
  </si>
  <si>
    <t>D-16</t>
  </si>
  <si>
    <t>https://landandmaritimeapps.dla.mil/Downloads/MilSpec/Smd/93222.pdf</t>
  </si>
  <si>
    <t>AD667S</t>
  </si>
  <si>
    <t>Aerospace 12-Bit Microprocessor Compatible DAC</t>
  </si>
  <si>
    <t>AD667-000C</t>
  </si>
  <si>
    <t>AD667S_HDR</t>
  </si>
  <si>
    <t>AD6670703D</t>
  </si>
  <si>
    <t xml:space="preserve">ad667-hdr.pdf </t>
  </si>
  <si>
    <t>AD6670703F</t>
  </si>
  <si>
    <t>28-Lead Bottom-Brazed Flatpack</t>
  </si>
  <si>
    <t>AD6670713F</t>
  </si>
  <si>
    <t>AD667D-EMX</t>
  </si>
  <si>
    <t>AD667F-EMX</t>
  </si>
  <si>
    <t>AD670S</t>
  </si>
  <si>
    <t>Aerospace 8-Bit Low Cost Signal Conditioning Single Supply ADC</t>
  </si>
  <si>
    <t>AD6700703D</t>
  </si>
  <si>
    <t xml:space="preserve">ad670-hdr.pdf </t>
  </si>
  <si>
    <t>20-Lead Side-Brazed Ceramic Dual In-Line Package [SBDIP]</t>
  </si>
  <si>
    <t>d-20</t>
  </si>
  <si>
    <t>AD768S</t>
  </si>
  <si>
    <t>Aerospace 16-Bit, 30 MSPS Digital to Analog Converter</t>
  </si>
  <si>
    <t>5962R0820102VZA</t>
  </si>
  <si>
    <t>HIGH SPEED D/A CONVERTERS</t>
  </si>
  <si>
    <t>High Speed D/A Converters ≥30MSPS</t>
  </si>
  <si>
    <t xml:space="preserve">AD768S_HDR.pdf </t>
  </si>
  <si>
    <t>AD768 SEL.doc</t>
  </si>
  <si>
    <t>https://landandmaritimeapps.dla.mil/Downloads/MilSpec/Smd/08201.pdf</t>
  </si>
  <si>
    <t>AD768AF-EMX</t>
  </si>
  <si>
    <t>AD8001S</t>
  </si>
  <si>
    <t>Aerospace 800 MHz, 50mW Current Feedback Amplifier</t>
  </si>
  <si>
    <t>5962L9459302VHA</t>
  </si>
  <si>
    <t>Current Feedback Op Amps</t>
  </si>
  <si>
    <t>AD8001S_LDR_.pdf</t>
  </si>
  <si>
    <t xml:space="preserve">ad8001-seu.pdf </t>
  </si>
  <si>
    <t>10-Lead Ceramic Flat Package [FLATPACK]</t>
  </si>
  <si>
    <t>F-10-1</t>
  </si>
  <si>
    <t>https://landandmaritimeapps.dla.mil/Downloads/MilSpec/Smd/94593.pdf</t>
  </si>
  <si>
    <t>5962R9459301VHA</t>
  </si>
  <si>
    <t>AD8001S HDR .xls</t>
  </si>
  <si>
    <t>5962R9459301VPA</t>
  </si>
  <si>
    <t>Q-8</t>
  </si>
  <si>
    <t>AD8001SL-EMX</t>
  </si>
  <si>
    <t>AD8041S</t>
  </si>
  <si>
    <t>Aerospace 160 MHz Rail-to-Rail Amplifier with Disable</t>
  </si>
  <si>
    <t>5962L9683903VHA</t>
  </si>
  <si>
    <t>High Speed Op Amps (Bandwidth ≥ 50MHz)</t>
  </si>
  <si>
    <t>AD8041S_LDR</t>
  </si>
  <si>
    <t>ad8041_DD.xlsx</t>
  </si>
  <si>
    <t>https://landandmaritimeapps.dla.mil/Downloads/MilSpec/Smd/96839.pdf</t>
  </si>
  <si>
    <t>5962R9683902VHA</t>
  </si>
  <si>
    <t xml:space="preserve">ad8041-hdr.pdf </t>
  </si>
  <si>
    <t>5962R9683902VPA</t>
  </si>
  <si>
    <t>AD8041-000C</t>
  </si>
  <si>
    <t>AD8041SL-EMX</t>
  </si>
  <si>
    <t>AD8138S</t>
  </si>
  <si>
    <t>Aerospace 320 MHz Low Distortion Differential Amplifier</t>
  </si>
  <si>
    <t>5962L0922002VHA</t>
  </si>
  <si>
    <t>Fully Differential Amplifiers</t>
  </si>
  <si>
    <t>AD8138_LDR.xlsx</t>
  </si>
  <si>
    <t>https://landandmaritimeapps.dla.mil/Downloads/MilSpec/Smd/09220.pdf</t>
  </si>
  <si>
    <t>5962R0922001VHA</t>
  </si>
  <si>
    <t>AD8138S_HDR.pdf</t>
  </si>
  <si>
    <t>AD8138AL-EMX</t>
  </si>
  <si>
    <t>AD8182S</t>
  </si>
  <si>
    <t>Aerospace Dual 2:1 Buffered, 750 MHz, 3.8 mA, 10 ns Switching Multiplexer</t>
  </si>
  <si>
    <t>5962L1021102VDA</t>
  </si>
  <si>
    <t>SWITCH/MUX</t>
  </si>
  <si>
    <t>Buffered Analog Multiplexers</t>
  </si>
  <si>
    <t>AD8182_LDR.xlsx</t>
  </si>
  <si>
    <t>AD8182 SEL.doc</t>
  </si>
  <si>
    <t>14-Lead Ceramic Flat Package [FLATPACK]</t>
  </si>
  <si>
    <t>f-14-1</t>
  </si>
  <si>
    <t>https://landandmaritimeapps.dla.mil/Downloads/MilSpec/Smd/10211.pdf</t>
  </si>
  <si>
    <t>5962R1021101VDA</t>
  </si>
  <si>
    <t>AD8182S_HDR.pdf</t>
  </si>
  <si>
    <t>AD8182AM-EMX</t>
  </si>
  <si>
    <t>AD8210S</t>
  </si>
  <si>
    <t>Aerospace High Voltage, Bidirectional Current Shunt Monitor</t>
  </si>
  <si>
    <t>5962L1223302VXA</t>
  </si>
  <si>
    <t>Current Sense Amplifiers</t>
  </si>
  <si>
    <t>AD8210_LDR.xlsx</t>
  </si>
  <si>
    <t>SEE AD8210.docx</t>
  </si>
  <si>
    <t>F-10-2</t>
  </si>
  <si>
    <t>https://landandmaritimeapps.dla.mil/Downloads/MilSpec/Smd/12233.pdf</t>
  </si>
  <si>
    <t>5962R1223301VXA</t>
  </si>
  <si>
    <t>AD8210S_HDR.pdf</t>
  </si>
  <si>
    <t>AD8210AF-EMX</t>
  </si>
  <si>
    <t>AD8212S</t>
  </si>
  <si>
    <t>Aerospace High Voltage Current Shunt Monitor</t>
  </si>
  <si>
    <t>5962L0924402VHA</t>
  </si>
  <si>
    <t>AD8212S_LDR.pdf</t>
  </si>
  <si>
    <t>AD8212 SEL.doc</t>
  </si>
  <si>
    <t>DD AD8212S</t>
  </si>
  <si>
    <t>https://landandmaritimeapps.dla.mil/Downloads/MilSpec/Smd/09244.pdf</t>
  </si>
  <si>
    <t>5962R0924401VHA</t>
  </si>
  <si>
    <t>AD8212S_HDR.pdf</t>
  </si>
  <si>
    <t>AD8212AL-EMX</t>
  </si>
  <si>
    <t>AD8229S</t>
  </si>
  <si>
    <t>Aerospace 1 nV/√Hz Low Noise Instrumentation Amplifier</t>
  </si>
  <si>
    <t>5962L1420502VXA</t>
  </si>
  <si>
    <t xml:space="preserve">ad8229-ldr.pdf </t>
  </si>
  <si>
    <t>SEE_430_01.docx</t>
  </si>
  <si>
    <t>F-14-3</t>
  </si>
  <si>
    <t>https://landandmaritimeapps.dla.mil/Downloads/MilSpec/Smd/14205.pdf</t>
  </si>
  <si>
    <t>5962R1420501VXA</t>
  </si>
  <si>
    <t>AD8229S_HDR</t>
  </si>
  <si>
    <t>AD8229AF-EMX</t>
  </si>
  <si>
    <t>AD8306S</t>
  </si>
  <si>
    <t>Aerospace 5 - 400 MHz, 100 dB High Precision Limiting - Logarithmic Amplifier</t>
  </si>
  <si>
    <t>5962L9864603VXA</t>
  </si>
  <si>
    <t>RF DETECTORS</t>
  </si>
  <si>
    <t>Logarithmic Detectors</t>
  </si>
  <si>
    <t>AD8306S_LDR.pdf</t>
  </si>
  <si>
    <t>AD8306 SEL.doc</t>
  </si>
  <si>
    <t>16-Lead Flatpak Glass Sealed (Hermetic)</t>
  </si>
  <si>
    <t>Glass</t>
  </si>
  <si>
    <t>05-8-7003</t>
  </si>
  <si>
    <t>https://landandmaritimeapps.dla.mil/Downloads/MilSpec/Smd/98646.pdf</t>
  </si>
  <si>
    <t>5962R9864602VXA</t>
  </si>
  <si>
    <t>AD8306S_HDR.pdf</t>
  </si>
  <si>
    <t>AD8306AF-EMX</t>
  </si>
  <si>
    <t>AD8346S</t>
  </si>
  <si>
    <t>Aerospace 2.5 GHz Direct Conversion Quadrature Modulator</t>
  </si>
  <si>
    <t>5962L0922702VXA</t>
  </si>
  <si>
    <t>I/Q MOD/DEMOD</t>
  </si>
  <si>
    <t>I/Q Modulators</t>
  </si>
  <si>
    <t>AD8346_LDR.pdf</t>
  </si>
  <si>
    <t>AD8346 SEL.doc</t>
  </si>
  <si>
    <t>https://landandmaritimeapps.dla.mil/Downloads/MilSpec/Smd/09227.pdf</t>
  </si>
  <si>
    <t>5962R0922701VXA</t>
  </si>
  <si>
    <t>ad8346.xlsx</t>
  </si>
  <si>
    <t>AD8346AF-EMX</t>
  </si>
  <si>
    <t>AD8351S</t>
  </si>
  <si>
    <t>Aerospace Low Distortion Fully Differential RF/IF Amplifier</t>
  </si>
  <si>
    <t>5962L0821802V2A</t>
  </si>
  <si>
    <t>AD8351S_LDR.xlsx</t>
  </si>
  <si>
    <t>AD8351 SEL.doc</t>
  </si>
  <si>
    <t>E-20-1</t>
  </si>
  <si>
    <t>https://landandmaritimeapps.dla.mil/Downloads/MilSpec/Smd/08218.pdf</t>
  </si>
  <si>
    <t>5962R0821801V2A</t>
  </si>
  <si>
    <t>AD8351S_HDR_.pdf</t>
  </si>
  <si>
    <t>AD8351ARC-EMX</t>
  </si>
  <si>
    <t>AD8367S</t>
  </si>
  <si>
    <t>Aerospace 500 MHz, 45 dB Linear-in-dB Variable Gain Amplifier</t>
  </si>
  <si>
    <t>AD8367AF-EMX</t>
  </si>
  <si>
    <t>RF AMPLIFIERS</t>
  </si>
  <si>
    <t>Analog Control Variable Gain Amplifiers (VGAs)</t>
  </si>
  <si>
    <t>-55°C to 110°C</t>
  </si>
  <si>
    <t>AD8367L703F</t>
  </si>
  <si>
    <t>AD8367S_LDR_.pdf</t>
  </si>
  <si>
    <t>16-Lead Ceramic Flatpack</t>
  </si>
  <si>
    <t xml:space="preserve">F-16-1 </t>
  </si>
  <si>
    <t>AD8367R703F</t>
  </si>
  <si>
    <t>AD8367S_HDR_.pdf</t>
  </si>
  <si>
    <t>AD844S</t>
  </si>
  <si>
    <t>Aerospace 60 MHz, 2000V/µS Op Amp</t>
  </si>
  <si>
    <t>5962L8964402VPA</t>
  </si>
  <si>
    <t>AD844S_LDR.pdf</t>
  </si>
  <si>
    <t>https://landandmaritimeapps.dla.mil/Downloads/MilSpec/Smd/89644.pdf</t>
  </si>
  <si>
    <t>5962R8964401VPA</t>
  </si>
  <si>
    <t xml:space="preserve">AD844S-hdr.pdf </t>
  </si>
  <si>
    <t>AD8561S</t>
  </si>
  <si>
    <t>Aerospace 7nS Single Comparator</t>
  </si>
  <si>
    <t>5962-0051501VPA</t>
  </si>
  <si>
    <t>High Speed Comparators (&lt;100ns Propagation Delay)</t>
  </si>
  <si>
    <t>AD8561S HDR .xls</t>
  </si>
  <si>
    <t>https://landandmaritimeapps.dla.mil/Downloads/MilSpec/Smd/00515.pdf</t>
  </si>
  <si>
    <t>5962L0051502VHA</t>
  </si>
  <si>
    <t>AD8561_LDR.xlsx</t>
  </si>
  <si>
    <t>5962R0051501VHA</t>
  </si>
  <si>
    <t>5962R0051501VPA</t>
  </si>
  <si>
    <t>AD8561AL-EMX</t>
  </si>
  <si>
    <t>AD8629S</t>
  </si>
  <si>
    <t>AEROSPACE ZERO DRIFT, SINGLE-SUPPLY, RAIL-TO-RAIL INPUT/OUTPUT OPERATIONAL AMPLIFIER</t>
  </si>
  <si>
    <t>AD8629AL-EMX</t>
  </si>
  <si>
    <t>Zero-Drift Op Amps</t>
  </si>
  <si>
    <t>AD8629D703L</t>
  </si>
  <si>
    <t>AD8629S_TID</t>
  </si>
  <si>
    <t>AD8629 SEL.doc</t>
  </si>
  <si>
    <t>AD8671S</t>
  </si>
  <si>
    <t>Aerospace Single Precision Very Low Noise, Low Input Bias Current, Operational Amplifier</t>
  </si>
  <si>
    <t>5962L0922301VHA</t>
  </si>
  <si>
    <t>High Voltage Op Amps ≥12V</t>
  </si>
  <si>
    <t>AD8671S_HDR_</t>
  </si>
  <si>
    <t>AD8671 SEL.doc</t>
  </si>
  <si>
    <t>https://landandmaritimeapps.dla.mil/Downloads/MilSpec/Smd/09223.pdf</t>
  </si>
  <si>
    <t>AD8671AL-EMX</t>
  </si>
  <si>
    <t>AD9042S</t>
  </si>
  <si>
    <t>Aerospace 12-Bit 41 MSPS ADC</t>
  </si>
  <si>
    <t>5962L0253802VZA</t>
  </si>
  <si>
    <t>HIGH SPEED A/D CONVERTERS</t>
  </si>
  <si>
    <t>Standard High Speed A/D Converters</t>
  </si>
  <si>
    <t>AD9042_LDR.xlsx</t>
  </si>
  <si>
    <t>https://landandmaritimeapps.dla.mil/Downloads/MilSpec/Smd/02538.pdf</t>
  </si>
  <si>
    <t>5962R0253801VXA</t>
  </si>
  <si>
    <t xml:space="preserve">ad9042s-hdr.pdf </t>
  </si>
  <si>
    <t>5962R0253801VZA</t>
  </si>
  <si>
    <t>AD9042SD-EMX</t>
  </si>
  <si>
    <t>AD9042SF-EMX</t>
  </si>
  <si>
    <t>AD9176S</t>
  </si>
  <si>
    <t>Dual, 16-Bit, 12.6 GSPS RF DAC with Wideband Channelizers</t>
  </si>
  <si>
    <t>AD9176BBP-CSH</t>
  </si>
  <si>
    <t>Standard High Speed D/A Converters</t>
  </si>
  <si>
    <t>Commercial Space High (CSH)</t>
  </si>
  <si>
    <t>-40°C to 85°C</t>
  </si>
  <si>
    <t>ad9176s_hdr_.pdf</t>
  </si>
  <si>
    <t xml:space="preserve">ad9176_see.pdf </t>
  </si>
  <si>
    <t>144-Ball Ball Grid Array, Thermally Enhanced [BGA_ED]</t>
  </si>
  <si>
    <t>Metal/Plastic</t>
  </si>
  <si>
    <t>BP-144-1</t>
  </si>
  <si>
    <t>AD9213S</t>
  </si>
  <si>
    <t>12-Bit, 10.25 GSPS, JESD204B, RF Analog-to-Digital Converter</t>
  </si>
  <si>
    <t>AD9213BBP-10G-CSH</t>
  </si>
  <si>
    <t>ad9213_hdr.pdf</t>
  </si>
  <si>
    <t>AD9213S Heavy Ion Report</t>
  </si>
  <si>
    <t>192-Ball Ball Grid Array, Thermally Enhanced [BGA_ED]</t>
  </si>
  <si>
    <t>BP-192-1</t>
  </si>
  <si>
    <t>AD9246S</t>
  </si>
  <si>
    <t>Aerospace 14-Bit, 125 MSPS, 1.8 V Analog-to-Digital Converter</t>
  </si>
  <si>
    <t>5962R1422701VXC</t>
  </si>
  <si>
    <t>AD9246_HDR.xlsm</t>
  </si>
  <si>
    <t xml:space="preserve">AD9246S_SEE.pdf </t>
  </si>
  <si>
    <t>48-Terminal Quad Flatpack with Brazed Lid</t>
  </si>
  <si>
    <t>QS-48-1</t>
  </si>
  <si>
    <t>https://landandmaritimeapps.dla.mil/Downloads/MilSpec/Smd/14227.pdf</t>
  </si>
  <si>
    <t>AD9246AF-EMX</t>
  </si>
  <si>
    <t>AD9254S</t>
  </si>
  <si>
    <t>Aerospace 14-Bit 150 MSPS, 1.8V Analog-to-Digital Converter</t>
  </si>
  <si>
    <t>AD9254BF-EMX</t>
  </si>
  <si>
    <t>52-Lead Ceramic Flat Package [FLATPACK]</t>
  </si>
  <si>
    <t>F-52</t>
  </si>
  <si>
    <t>AD9254R703F</t>
  </si>
  <si>
    <t>AD9254S (Rev. C)</t>
  </si>
  <si>
    <t>AD9254 SEL.doc</t>
  </si>
  <si>
    <t>AD9257S</t>
  </si>
  <si>
    <t>Octal, 14-Bit, 65 MSPS Serial LVDS 1.8 V Analog-to-Digital Converter</t>
  </si>
  <si>
    <t>AD9257TCPZ-65-CSL</t>
  </si>
  <si>
    <t>High Speed A/D Converters &gt;10 MSPS</t>
  </si>
  <si>
    <t>Commercial Space Low (CSL)</t>
  </si>
  <si>
    <t>ad9257s_hdr_.pdf</t>
  </si>
  <si>
    <t>64-Lead Lead Frame Chip Scale Package [LFCSP_WQ]</t>
  </si>
  <si>
    <t>Plastic</t>
  </si>
  <si>
    <t>Ni_Pd_Au</t>
  </si>
  <si>
    <t>CP-64-17</t>
  </si>
  <si>
    <t>AD9283S</t>
  </si>
  <si>
    <t>Aerospace 8-Bit, 100 MSPS Analog to Digital Converter</t>
  </si>
  <si>
    <t>AD9283-703RC</t>
  </si>
  <si>
    <t>AD9283RC-EMX</t>
  </si>
  <si>
    <t>AD9361S</t>
  </si>
  <si>
    <t>RF Agile Transceiver</t>
  </si>
  <si>
    <t>AD9361BBC-CSH</t>
  </si>
  <si>
    <t>RF TRANSCEIVERS AND MxFE</t>
  </si>
  <si>
    <t>Wideband Transceiver IC</t>
  </si>
  <si>
    <t>ad9361-csh.pdf</t>
  </si>
  <si>
    <t>AD9361S Heavy Ion SEE Report</t>
  </si>
  <si>
    <t>Sn_Pb_Ag</t>
  </si>
  <si>
    <t>BC-144-7</t>
  </si>
  <si>
    <t>AD9361BBCZ-CSL</t>
  </si>
  <si>
    <t>ad9361-csl_hdr.pdf</t>
  </si>
  <si>
    <t>Sn_Ag_Cu (SAC305)</t>
  </si>
  <si>
    <t>AD9694S</t>
  </si>
  <si>
    <t>14-Bit, 500 MSPS, JESD204B, Quad Analog-to-Digital Converter</t>
  </si>
  <si>
    <t>AD9694TCPZ-500-CSL</t>
  </si>
  <si>
    <t>-55°C to 105°C</t>
  </si>
  <si>
    <t>AD9694S_HDR</t>
  </si>
  <si>
    <t>72-Lead LFCSP (10mm x 10mm x 0.75 mm w/ EP)</t>
  </si>
  <si>
    <t>CP-72-13</t>
  </si>
  <si>
    <t>AD9731S</t>
  </si>
  <si>
    <t>Aerospace 10-Bit 170MSPS DAC</t>
  </si>
  <si>
    <t>AD97310703D</t>
  </si>
  <si>
    <t xml:space="preserve">ad9731s-hdr.pdf </t>
  </si>
  <si>
    <t>AD97310703F</t>
  </si>
  <si>
    <t>28-Lead Ceramic Bottom Brazed Flatpack</t>
  </si>
  <si>
    <t>AD97310713D</t>
  </si>
  <si>
    <t>AD97310713F</t>
  </si>
  <si>
    <t>AD9814S</t>
  </si>
  <si>
    <t>Aerospace Low Power 14-Bit, 3-Channel CCD Signal Processor with Progammable Serial Interface and Byte-Wide Data Output Format</t>
  </si>
  <si>
    <t>AD9814-703F</t>
  </si>
  <si>
    <t>VIDEO PRODUCTS</t>
  </si>
  <si>
    <t>CCD and Imaging Front Ends</t>
  </si>
  <si>
    <t>ad9814s_hdr.pdf</t>
  </si>
  <si>
    <t>AD9914S</t>
  </si>
  <si>
    <t>3.5 GPSP Direct Digital Synthesizer with 12-Bit DAC</t>
  </si>
  <si>
    <t>AD9914BCPZ-CSL</t>
  </si>
  <si>
    <t>Direct Digital Synthesis (DDS)</t>
  </si>
  <si>
    <t>AD9914S-HDR</t>
  </si>
  <si>
    <t>88-Lead Lead Frame Chip Scale Package [LFCSP_VQ]</t>
  </si>
  <si>
    <t>CP-88-5</t>
  </si>
  <si>
    <t>AD9914BCPZ-RL7-CSL</t>
  </si>
  <si>
    <t>ADA4077-2S</t>
  </si>
  <si>
    <t>Aerospace Dual Low Offset and Drift, High Precision Operational Amplifiers</t>
  </si>
  <si>
    <t>5962L1423302VXA</t>
  </si>
  <si>
    <t>Precision Op Amps (Vos ≤1mV &amp; TCVos ≤2uV/C)</t>
  </si>
  <si>
    <t>ADA4077_LDR.xlsx</t>
  </si>
  <si>
    <t>ADA4077-2S_SEL.pdf</t>
  </si>
  <si>
    <t>https://landandmaritimeapps.dla.mil/Downloads/MilSpec/Smd/14233.pdf</t>
  </si>
  <si>
    <t>5962R1423301VXA</t>
  </si>
  <si>
    <t>ADA4077_HDR.xlsm</t>
  </si>
  <si>
    <t>ADA4077-2AF-EMX</t>
  </si>
  <si>
    <t>ADA4077-4S</t>
  </si>
  <si>
    <t>Space 4 MHz, 7 nV/√Hz, Low Offset and Drift, High Precision Quad Amplifier</t>
  </si>
  <si>
    <t>5962R1921501VXA</t>
  </si>
  <si>
    <t>ADA4077-4S_HDR</t>
  </si>
  <si>
    <t>80 (Based on ADA4077-2S)</t>
  </si>
  <si>
    <t>14 Lead Bottom Bazed Flat Pack</t>
  </si>
  <si>
    <t>05-08-1240</t>
  </si>
  <si>
    <t>https://landandmaritimeapps.dla.mil/Downloads/MilSpec/Smd/19215.pdf</t>
  </si>
  <si>
    <t>ADA4077-4AF-EMX</t>
  </si>
  <si>
    <t>ADA4084-2S</t>
  </si>
  <si>
    <t>Aerospace Dual Low Noise, Rail-to-Rail I/O, Low Power Operational Amplifiers</t>
  </si>
  <si>
    <t>5962L1324502VXA</t>
  </si>
  <si>
    <t>ADA4084-2S LDR</t>
  </si>
  <si>
    <t>ADA4084-2S SEE</t>
  </si>
  <si>
    <t xml:space="preserve">ada4084-2s-dd.pdf </t>
  </si>
  <si>
    <t>10 Lead Bottom Brazed Flat Pack</t>
  </si>
  <si>
    <t>f-10-2</t>
  </si>
  <si>
    <t>https://landandmaritimeapps.dla.mil/Downloads/MilSpec/Smd/13245.pdf</t>
  </si>
  <si>
    <t>5962R1324501VXA</t>
  </si>
  <si>
    <t>ADA4084-2S HDR</t>
  </si>
  <si>
    <t>ADA4084-2AF-EMX</t>
  </si>
  <si>
    <t>ADA4084-4S</t>
  </si>
  <si>
    <t>Aerospace Quad Low Noise, Rail-to-Rail I/O, Low Power Operational Amplifiers</t>
  </si>
  <si>
    <t>5962L1523602VXA</t>
  </si>
  <si>
    <t>Low Noise Op Amps (≤ 10nV/√Hz)</t>
  </si>
  <si>
    <t>ADA4084-4S LDR</t>
  </si>
  <si>
    <t>ADA4084-4S SEL</t>
  </si>
  <si>
    <t>https://landandmaritimeapps.dla.mil/Downloads/MilSpec/Smd/15236.pdf</t>
  </si>
  <si>
    <t>5962R1523601VXA</t>
  </si>
  <si>
    <t>ADA4084-4S HDR</t>
  </si>
  <si>
    <t>ADA4084-4AF-EMX</t>
  </si>
  <si>
    <t>ADA4096-2S</t>
  </si>
  <si>
    <t>Aerospace Dual, 30V, Micropower, Overvoltage Protection, Rail-to-Rail Input/Output, Operational Amplifier</t>
  </si>
  <si>
    <t>5962L1420602VXA</t>
  </si>
  <si>
    <t>ADA4096-2S_LDR_.pdf</t>
  </si>
  <si>
    <t>ADA4096_2S_SEL_.pdf</t>
  </si>
  <si>
    <t>https://landandmaritimeapps.dla.mil/Downloads/MilSpec/Smd/14206.pdf</t>
  </si>
  <si>
    <t>5962R1420601VXA</t>
  </si>
  <si>
    <t>ADA4096-2S_HDR_.pdf</t>
  </si>
  <si>
    <t>ADA4096-2AF-EMX</t>
  </si>
  <si>
    <t>ADA4610-2S</t>
  </si>
  <si>
    <t>Aerospace Low Noise, Precision, Rail-to-Rail Output, JFET Dual Op Amp</t>
  </si>
  <si>
    <t>5962L1420702VXA</t>
  </si>
  <si>
    <t>ADA4610-2S_LDR_.pdf</t>
  </si>
  <si>
    <t>ADA4610-2S_SEE.pdf</t>
  </si>
  <si>
    <t>https://landandmaritimeapps.dla.mil/Downloads/MilSpec/Smd/14207.pdf</t>
  </si>
  <si>
    <t>5962R1420701VXA</t>
  </si>
  <si>
    <t>ADA4610-2S_HDR_.pdf</t>
  </si>
  <si>
    <t>ADA4610-2BF-EMX</t>
  </si>
  <si>
    <t>ADAR3000</t>
  </si>
  <si>
    <t>17 GHz to 22 GHz, 4-Beam and 4-Element, Ka-Band Beamformer</t>
  </si>
  <si>
    <t>ADAR3000ABCZ-CSL</t>
  </si>
  <si>
    <t>BEAMFORMERS, PHASE SHIFTERS &amp; VECTOR MODULATORS</t>
  </si>
  <si>
    <t>Beamformers</t>
  </si>
  <si>
    <t>Contact Beamforer@analog.com</t>
  </si>
  <si>
    <t>Contact Beamformer@analog.com</t>
  </si>
  <si>
    <t>311-Ball CSP_BGA</t>
  </si>
  <si>
    <t>BC-311-1</t>
  </si>
  <si>
    <t>ADAR3000S</t>
  </si>
  <si>
    <t>ADAR3000ABCZ-CSH</t>
  </si>
  <si>
    <t>Contact Space@analog.com</t>
  </si>
  <si>
    <t>ADAR3001</t>
  </si>
  <si>
    <t>27.5 GHz to 31 GHz, 4-Beam and 4-Element, Ka-Band Beamformer</t>
  </si>
  <si>
    <t>ADAR3001ABCZ-CSL</t>
  </si>
  <si>
    <t>ADAR3001S</t>
  </si>
  <si>
    <t>ADAR3001ABCZ-CSH</t>
  </si>
  <si>
    <t>ADAR3006</t>
  </si>
  <si>
    <t>10.7 GHz to 12.75 GHz 4-beam/4-element Ku band beamformer</t>
  </si>
  <si>
    <t>ADAR3006ABCZ-CSL</t>
  </si>
  <si>
    <t>TBD - Testing in Progress</t>
  </si>
  <si>
    <t>ADAR3007</t>
  </si>
  <si>
    <t>13.75GHz to 14.6 GHz 4-beam/4-element Ku band Beamformer</t>
  </si>
  <si>
    <t>ADAR3007ABCZ-CSL</t>
  </si>
  <si>
    <t>ADAR4002</t>
  </si>
  <si>
    <t>0.5 GHz to 19 GHz, 1-Channel, Bidirectional True Time Delay Unit</t>
  </si>
  <si>
    <t>ADAR4002ACPZ-CSL</t>
  </si>
  <si>
    <t>14-Lead LFCSP</t>
  </si>
  <si>
    <t>Sn</t>
  </si>
  <si>
    <t>CP-14-16</t>
  </si>
  <si>
    <t>ADAR4002ACPZR7-CSL</t>
  </si>
  <si>
    <t>ADCLK925S</t>
  </si>
  <si>
    <t>Aerospace Ultrafast SiGe ECL Clock/Data Buffers</t>
  </si>
  <si>
    <t>5962L1320502VXA</t>
  </si>
  <si>
    <t>CLOCK AND TIMING</t>
  </si>
  <si>
    <t>Clock Distribution Devices</t>
  </si>
  <si>
    <t>ADCLK925_LDR_15.xlsx</t>
  </si>
  <si>
    <t>ADCLK925S_SEL.pdf</t>
  </si>
  <si>
    <t>16-Lead Bottombrazed Flat Package [FLATPACK]</t>
  </si>
  <si>
    <t>https://landandmaritimeapps.dla.mil/Downloads/MilSpec/Smd/13205.pdf</t>
  </si>
  <si>
    <t>5962R1320501VXA</t>
  </si>
  <si>
    <t>ADCLK925_HDR.xlsm</t>
  </si>
  <si>
    <t>ADCLK925AF-EMX</t>
  </si>
  <si>
    <t>ADF4108S</t>
  </si>
  <si>
    <t>Aerospace PLL Frequency Synthesizer</t>
  </si>
  <si>
    <t>5962L1420401VXA</t>
  </si>
  <si>
    <t>PHASE LOCKED LOOP (PLL)</t>
  </si>
  <si>
    <t>Integer-N PLL</t>
  </si>
  <si>
    <t xml:space="preserve">adf4108s-sel.pdf </t>
  </si>
  <si>
    <t>16-Lead Bottom Brazed FlatPack</t>
  </si>
  <si>
    <t>f-16-1</t>
  </si>
  <si>
    <t>https://landandmaritimeapps.dla.mil/Downloads/MilSpec/Smd/14204.pdf</t>
  </si>
  <si>
    <t>5962L1420402VXA</t>
  </si>
  <si>
    <t>ADF41008_LDR.xlsx</t>
  </si>
  <si>
    <t>ADF4108BF-EMX</t>
  </si>
  <si>
    <t>ADG201S</t>
  </si>
  <si>
    <t>Aerospace 60 Ω, Quad SPST Switch</t>
  </si>
  <si>
    <t>ADG2010803Q</t>
  </si>
  <si>
    <t>Dual-Supply Analog Switches and Multiplexers</t>
  </si>
  <si>
    <t>20 (non-RHA)</t>
  </si>
  <si>
    <t xml:space="preserve">adg201s-hdr.pdf </t>
  </si>
  <si>
    <t>ADH1015S</t>
  </si>
  <si>
    <t>MMIC Triple Balanced Mixer 26-32GHz Die</t>
  </si>
  <si>
    <t>HMC8805</t>
  </si>
  <si>
    <t>RF MIXERS</t>
  </si>
  <si>
    <t>Single, Double, and Triple Balanced Mixers</t>
  </si>
  <si>
    <t>&gt;200 (Based on process)</t>
  </si>
  <si>
    <t>&gt;80 (Based on process)</t>
  </si>
  <si>
    <t>ADH1048AS</t>
  </si>
  <si>
    <t>Aerospace,  GaAs, MMIC, Double Balanced Downconverter, 2.25 GHz to 18 GHz</t>
  </si>
  <si>
    <t>HMC7888</t>
  </si>
  <si>
    <t>https://www.analog.com/media/en/technical-documentation/controlled-drawings/sid000017a-adh1048as.pdf</t>
  </si>
  <si>
    <t>ADH1048S</t>
  </si>
  <si>
    <t>2 GHz to 18 GHz Double-Balanced Mixer</t>
  </si>
  <si>
    <t>HMC8250LH5</t>
  </si>
  <si>
    <t>MIL-PRF-38535 Class Level S (with Exceptions)</t>
  </si>
  <si>
    <t>12-Terminal Ceramic Leadless Chip Carrier [LCC]</t>
  </si>
  <si>
    <t>E-12-5</t>
  </si>
  <si>
    <t>https://www.analog.com/media/en/technical-documentation/controlled-drawings/sid000003a-adh1048s.pdf</t>
  </si>
  <si>
    <t>ADH1081S</t>
  </si>
  <si>
    <t>Aerospace, GaAs, MMIC, Double-Balanced Mixer, 50 GHz to 75 GHz</t>
  </si>
  <si>
    <t>HMC8656</t>
  </si>
  <si>
    <t>https://www.analog.com/media/en/technical-documentation/controlled-drawings/sid000067a-adh1081s.pdf</t>
  </si>
  <si>
    <t>ADH1126S</t>
  </si>
  <si>
    <t>Aerospace, GaAs, pHEMT, MMIC, Power Amplifier, 2 GHz – 50 GHz</t>
  </si>
  <si>
    <t>HMC8659</t>
  </si>
  <si>
    <t>Power Amplifiers</t>
  </si>
  <si>
    <t>-55°C to 85°C</t>
  </si>
  <si>
    <t>https://www.analog.com/media/en/technical-documentation/controlled-drawings/sid000061-adh1126s.pdf</t>
  </si>
  <si>
    <t>ADH128S</t>
  </si>
  <si>
    <t>Aerospace, GaAs, MMIC, Double-Balanced Mixer, 1.8 GHz to 5 GHz</t>
  </si>
  <si>
    <t>HMC8482G8</t>
  </si>
  <si>
    <t>8-Lead Flat Package with Gullwing Formed Leads</t>
  </si>
  <si>
    <t>FR-8-2</t>
  </si>
  <si>
    <t>https://www.analog.com/media/en/technical-documentation/controlled-drawings/sid000085a-adh128s.pdf</t>
  </si>
  <si>
    <t>ADH141S</t>
  </si>
  <si>
    <t>MMIC Mixer, 6-18 GHz Die</t>
  </si>
  <si>
    <t>HMC8804</t>
  </si>
  <si>
    <t>RF Mixers with Integrated LO</t>
  </si>
  <si>
    <t>ADH232S</t>
  </si>
  <si>
    <t>High Isolation SPDT Switch</t>
  </si>
  <si>
    <t>HMC8267G8</t>
  </si>
  <si>
    <t>RF CONTROL PRODUCTS</t>
  </si>
  <si>
    <t>RF Switches</t>
  </si>
  <si>
    <t>Ni_Au</t>
  </si>
  <si>
    <t>https://www.analog.com/media/en/technical-documentation/controlled-drawings/sid000020a-adh232s.pdf</t>
  </si>
  <si>
    <t>HMC8800</t>
  </si>
  <si>
    <t>ADH244S</t>
  </si>
  <si>
    <t>DC to 4 GHz SP4T Non-Reflective Switch</t>
  </si>
  <si>
    <t>ADH244-701G16</t>
  </si>
  <si>
    <t>16-Lead Flat Package with Gullwing Formed Leads</t>
  </si>
  <si>
    <t>FR-16-2</t>
  </si>
  <si>
    <t>ADH252S</t>
  </si>
  <si>
    <t>Aerospace, GaAs, MMIC, SP6T Non-Reflective Switch, DC to 3 GHz</t>
  </si>
  <si>
    <t>HMC4811G16</t>
  </si>
  <si>
    <t>-37°C to 80°C</t>
  </si>
  <si>
    <t>https://www.analog.com/media/en/technical-documentation/controlled-drawings/sid000073a-adh252s.pdf</t>
  </si>
  <si>
    <t>ADH292S</t>
  </si>
  <si>
    <t>Aerospace, GaAs, MMIC, Double-Balanced Mixer, 18 GHz to 32 GHz</t>
  </si>
  <si>
    <t>HMC8331</t>
  </si>
  <si>
    <t>https://www.analog.com/media/en/technical-documentation/controlled-drawings/sid000058a-adh292s.pdf</t>
  </si>
  <si>
    <t>ADH311S</t>
  </si>
  <si>
    <t>Aerospace,  GaAs, InGaP, HBT, MMIC, Gain Block Amplifier, DC to 6 GHz</t>
  </si>
  <si>
    <t>HMC8430</t>
  </si>
  <si>
    <t>Gain Blocks</t>
  </si>
  <si>
    <t>https://www.analog.com/media/en/technical-documentation/controlled-drawings/sid000038b-adh311s.pdf</t>
  </si>
  <si>
    <t>ADH322S</t>
  </si>
  <si>
    <t>DC to 2010 MHz, SP8T Non-Reflective Switch</t>
  </si>
  <si>
    <t>HMC8058G24</t>
  </si>
  <si>
    <t>24-Lead Glass/Metal Hermetic SMT</t>
  </si>
  <si>
    <t>FR-24-1</t>
  </si>
  <si>
    <t>https://www.analog.com/media/en/technical-documentation/controlled-drawings/sid000057a-adh322s.pdf</t>
  </si>
  <si>
    <t>ADH346S</t>
  </si>
  <si>
    <t>Space MMIC Voltage-Variable Attenuator DC-20GHz</t>
  </si>
  <si>
    <t>ADH346-701G8</t>
  </si>
  <si>
    <t>Voltage Variable Attenuators</t>
  </si>
  <si>
    <t>HMC8801</t>
  </si>
  <si>
    <t>https://www.analog.com/media/en/technical-documentation/data-sheets/ADH346S.pdf</t>
  </si>
  <si>
    <t>ADH347S</t>
  </si>
  <si>
    <t>Aerospace, SPDT Switch, Non-Reflective, DC to 8 GHz (G8 Pkg), DC to 14 GHz (LH5 Pkg), and DC to 20 GHz (Die)</t>
  </si>
  <si>
    <t>ADH347-000C</t>
  </si>
  <si>
    <t>https://www.analog.com/media/en/technical-documentation/data-sheets/asd0016616.pdf</t>
  </si>
  <si>
    <t>ADH347-701LH5</t>
  </si>
  <si>
    <t>https://www.analog.com/media/en/technical-documentation/data-sheets/asd0016617.pdf</t>
  </si>
  <si>
    <t>HMC8292G8</t>
  </si>
  <si>
    <t>https://www.analog.com/media/en/technical-documentation/controlled-drawings/sid000049a-adh347s.pdf</t>
  </si>
  <si>
    <t>ADH361S</t>
  </si>
  <si>
    <t>Space SMT MMIC Divide-By-2, DC to 12 GHz</t>
  </si>
  <si>
    <t>ADH361R701G8</t>
  </si>
  <si>
    <t>FREQUENCY DIVIDERS/MULTIPLIERS</t>
  </si>
  <si>
    <t>Frequency Dividers</t>
  </si>
  <si>
    <t xml:space="preserve">adh361s-hdr.pdf </t>
  </si>
  <si>
    <t>ADH363S</t>
  </si>
  <si>
    <t>Space DC to 12 GHz Divide-by-8</t>
  </si>
  <si>
    <t>ADH363R701G8</t>
  </si>
  <si>
    <t xml:space="preserve">adh363s-hdr.pdf </t>
  </si>
  <si>
    <t>ADH365S</t>
  </si>
  <si>
    <t>Space SMT MMIC Divide-By-4, DC to 13 GHz</t>
  </si>
  <si>
    <t>ADH365R701G8</t>
  </si>
  <si>
    <t xml:space="preserve">adh365s-hdr.pdf </t>
  </si>
  <si>
    <t>ADH383S</t>
  </si>
  <si>
    <t>Aerospace, GaAs, PHEMT, MMIC, Medium Power Amplifier, 12 GHz to 30 GHz.</t>
  </si>
  <si>
    <t>HMC8734</t>
  </si>
  <si>
    <t>Medium Power Amplifiers</t>
  </si>
  <si>
    <t>https://www.analog.com/media/en/technical-documentation/controlled-drawings/sid000029b-adh383s.pdf</t>
  </si>
  <si>
    <t>ADH392AS</t>
  </si>
  <si>
    <t>Aerospace, GaAs, MMIC, Low Noise Amplifier, 3.5 GHz to 7 GHz.</t>
  </si>
  <si>
    <t>HMC8728</t>
  </si>
  <si>
    <t>Low Noise Amplifiers</t>
  </si>
  <si>
    <t>https://www.analog.com/media/en/technical-documentation/controlled-drawings/sid000031b-adh392as.pdf</t>
  </si>
  <si>
    <t>ADH392S</t>
  </si>
  <si>
    <t>3.5 GHz to 7 GHz Low Noise Amplifier</t>
  </si>
  <si>
    <t>HMC3069B</t>
  </si>
  <si>
    <t>https://www.analog.com/media/en/technical-documentation/controlled-drawings/sid000007b-adh392s.pdf</t>
  </si>
  <si>
    <t>ADH395S</t>
  </si>
  <si>
    <t>Aerospace InGaP HBT Gain Block Amplifier, DC – 4 GHz</t>
  </si>
  <si>
    <t>ADH395-701G8</t>
  </si>
  <si>
    <t>HMC8674</t>
  </si>
  <si>
    <t>https://www.analog.com/media/en/technical-documentation/controlled-drawings/sid000033a-adh395s.pdf</t>
  </si>
  <si>
    <t>ADH424S</t>
  </si>
  <si>
    <t>DC - 3 GHz, 0.5 dB LSB 6-Bit Digital Attenuator</t>
  </si>
  <si>
    <t>ADH424-701G16</t>
  </si>
  <si>
    <t>Digital Step Attenuators</t>
  </si>
  <si>
    <t>https://www.analog.com/media/en/technical-documentation/data-sheets/asd0016610.pdf</t>
  </si>
  <si>
    <t>DC - 13 GHz, 0.5 dB LSB 6-Bit Digital Attenuator</t>
  </si>
  <si>
    <t>ADH424-701LH5</t>
  </si>
  <si>
    <t>https://www.analog.com/media/en/technical-documentation/data-sheets/asd0016614.pdf</t>
  </si>
  <si>
    <t>DC - 13 GHz, 0.5 dB LSB 6-Bit Digital Attenuator, Die</t>
  </si>
  <si>
    <t>HMC8802</t>
  </si>
  <si>
    <t>https://www.analog.com/media/en/technical-documentation/data-sheets/ADH424S.pdf</t>
  </si>
  <si>
    <t>ADH438S</t>
  </si>
  <si>
    <t>DC - 7 GHz Divide-By-5</t>
  </si>
  <si>
    <t>HMC5783G8</t>
  </si>
  <si>
    <t>https://www.analog.com/media/en/technical-documentation/controlled-drawings/sid000002a-adh438s.pdf</t>
  </si>
  <si>
    <t>ADH439S</t>
  </si>
  <si>
    <t>Aerospace, HBT, Digital Phase – Frequency Detector, 10 MHz – 1300 MHz</t>
  </si>
  <si>
    <t>HMC4219G16</t>
  </si>
  <si>
    <t>Phase Frequency Detector</t>
  </si>
  <si>
    <t>https://www.analog.com/media/en/technical-documentation/controlled-drawings/sid000076a-adh439s.pdf</t>
  </si>
  <si>
    <t>ADH448S</t>
  </si>
  <si>
    <t>Aerospace, GaAs, PHEMT, MMIC, x2 Active Multiplier Chip, 19 GHz to 25 GHz Fout</t>
  </si>
  <si>
    <t>HMC7481</t>
  </si>
  <si>
    <t>Frequency Multipliers</t>
  </si>
  <si>
    <t>https://www.analog.com/media/en/technical-documentation/controlled-drawings/sid000077a-adh448s.pdf</t>
  </si>
  <si>
    <t>ADH451S</t>
  </si>
  <si>
    <t>Aerospace, GaAs, PHEMT, MMIC, Medium Power Amplifier, 5 GHz to 20 GHz (Die), 5 GHz to 18 GHz (LH5 Pkg).</t>
  </si>
  <si>
    <t>ADH451-701LH5</t>
  </si>
  <si>
    <t>HMC6293</t>
  </si>
  <si>
    <t>https://www.analog.com/media/en/technical-documentation/controlled-drawings/sid000010b-adh451s.pdf</t>
  </si>
  <si>
    <t>ADH462S</t>
  </si>
  <si>
    <t>2 GHz to 20 GHz, Low Noise Amplifier</t>
  </si>
  <si>
    <t>HMC8427</t>
  </si>
  <si>
    <t>https://www.analog.com/media/en/technical-documentation/controlled-drawings/sid000039a-adh462s.pdf</t>
  </si>
  <si>
    <t>ADH463S</t>
  </si>
  <si>
    <t>Aerospace GaAs, Low Noise AGC Amplifier 2 to 20 GHz, LH250 Package</t>
  </si>
  <si>
    <t>ADH463-000C</t>
  </si>
  <si>
    <t>https://www.analog.com/media/en/technical-documentation/data-sheets/adh463s-die.pdf</t>
  </si>
  <si>
    <t>ADH463-701LH250</t>
  </si>
  <si>
    <t>E-12-6</t>
  </si>
  <si>
    <t>https://www.analog.com/media/en/technical-documentation/data-sheets/adh463s.pdf</t>
  </si>
  <si>
    <t>ADH465S</t>
  </si>
  <si>
    <t>Aerospace, GaAs, pHEMT, MMIC, Distributed Driver Amplifier, DC to 20 GHz.</t>
  </si>
  <si>
    <t>HMC8334</t>
  </si>
  <si>
    <t>Driver Amplifiers</t>
  </si>
  <si>
    <t>https://www.analog.com/media/en/technical-documentation/controlled-drawings/sid000021a-adh465s.pdf</t>
  </si>
  <si>
    <t>ADH499S</t>
  </si>
  <si>
    <t>Aerospace GaAs PHEMT, Medium Power Amplifier 21 to 32 GHz, LSH6 Package</t>
  </si>
  <si>
    <t>ADH499-701LSH6</t>
  </si>
  <si>
    <t>16-Terminal Ceramic Leadless Chip Carrier with Heat Sink</t>
  </si>
  <si>
    <t>EH-16-2</t>
  </si>
  <si>
    <t>ADH514S</t>
  </si>
  <si>
    <t>Aerospace, GaAs, InGaP, HBT, MMIC, 11.17 GHz to 12.02 GHz, VCO with Fo/2 and Fo/4 Frequency Output.</t>
  </si>
  <si>
    <t>HMC8618LH250</t>
  </si>
  <si>
    <t>VOLTAGE CONTROLLED OSCILLATORS (VCO)</t>
  </si>
  <si>
    <t>VCOs with Output Dividers</t>
  </si>
  <si>
    <t>https://www.analog.com/media/en/technical-documentation/controlled-drawings/sid000087a-adh514s.pdf</t>
  </si>
  <si>
    <t>ADH519S</t>
  </si>
  <si>
    <t>Aerospace GaAs PHEMT MMIC Low Noise Amplifier, 17.5 – 31.5 GHz</t>
  </si>
  <si>
    <t>ADH519LSH6-EMX</t>
  </si>
  <si>
    <t>ADH519R701LSH6</t>
  </si>
  <si>
    <t>adh519s_hdr_.pdf</t>
  </si>
  <si>
    <t>ADH520S</t>
  </si>
  <si>
    <t>Aerospace, GaAs, MESFET, MMIC, I/Q Mixer, 6 GHz to 10 GHz</t>
  </si>
  <si>
    <t>HMC8700LH5</t>
  </si>
  <si>
    <t>IQ Mixer</t>
  </si>
  <si>
    <t>https://www.analog.com/media/en/technical-documentation/controlled-drawings/sid000068a-adh520s.pdf</t>
  </si>
  <si>
    <t>ADH530S</t>
  </si>
  <si>
    <t>Aerospace, GaAs, InGaP, HBT, MMIC, 9 GHz to 11 GHz, VCO with Fo/2 and Fo/4 Frequency Output.</t>
  </si>
  <si>
    <t>HMC8051</t>
  </si>
  <si>
    <t>https://www.analog.com/media/en/technical-documentation/controlled-drawings/sid000088a-adh530s.pdf</t>
  </si>
  <si>
    <t>ADH534S</t>
  </si>
  <si>
    <t>Aerospace, GaAs, InGaP, HBT, MMIC, 10.6 GHz to 11.8 GHz, VCO with Fo/2 and Fo/4 Frequency Output.</t>
  </si>
  <si>
    <t>HMC8501</t>
  </si>
  <si>
    <t>https://www.analog.com/media/en/technical-documentation/controlled-drawings/sid000050a-adh534s.pdf</t>
  </si>
  <si>
    <t>ADH554S</t>
  </si>
  <si>
    <t>Aerospace GaAs Fundamental Mixer, 11 GHz – 18 GHz</t>
  </si>
  <si>
    <t>ADH554-701LH5</t>
  </si>
  <si>
    <t>ADH557AS</t>
  </si>
  <si>
    <t>Aerospace, GaAs, MMIC, Fundamental Mixer, 2.5 GHz to 7 GHz</t>
  </si>
  <si>
    <t>HMC8517LH5</t>
  </si>
  <si>
    <t>https://www.analog.com/media/en/technical-documentation/controlled-drawings/sid000062a-adh557as.pdf</t>
  </si>
  <si>
    <t>ADH561S</t>
  </si>
  <si>
    <t>Aerospace GaAs, Broadband Frequency Multiplier, 8 to 21 GHz, Die</t>
  </si>
  <si>
    <t>ADH561-000C</t>
  </si>
  <si>
    <t>ADH564S</t>
  </si>
  <si>
    <t>7 GHz to 13.5 GHz Low Noise Amplifier</t>
  </si>
  <si>
    <t>HMC6578</t>
  </si>
  <si>
    <t>https://www.analog.com/media/en/technical-documentation/controlled-drawings/sid000012a-adh564s.pdf</t>
  </si>
  <si>
    <t>ADH573S</t>
  </si>
  <si>
    <t>Aerospace, GaAs, PHEMT, MMIC, x2 Active Multiplier, 8 GHz to 22 GHz Fout</t>
  </si>
  <si>
    <t>HMC8249LH5</t>
  </si>
  <si>
    <t>https://www.analog.com/media/en/technical-documentation/controlled-drawings/sid000089a-adh573s.pdf</t>
  </si>
  <si>
    <t>ADH576S</t>
  </si>
  <si>
    <t>Aerospace, GaAs, MMIC, x2 Active Multiplier Chip, 18 GHz to 29 GHz Fout</t>
  </si>
  <si>
    <t>HMC8332</t>
  </si>
  <si>
    <t>https://www.analog.com/media/en/technical-documentation/controlled-drawings/sid000060a-adh576s.pdf</t>
  </si>
  <si>
    <t>ADH586S</t>
  </si>
  <si>
    <t>Aerospace, MMIC, 4.15 GHz to 8 GHz, Hybrid VCO with Varactor Diodes</t>
  </si>
  <si>
    <t>HMC8343LH250</t>
  </si>
  <si>
    <t>VCOs with Single Output</t>
  </si>
  <si>
    <t>MIL-PRF-38534 Class H / MIL-STD-883 Class Level S</t>
  </si>
  <si>
    <t>https://www.analog.com/media/en/technical-documentation/controlled-drawings/sid000096a-adh586s.pdf</t>
  </si>
  <si>
    <t>ADH598S</t>
  </si>
  <si>
    <t>Aerospace, GaAs, pHEMT, MMIC, x2 Active Multiplier Chip, 22 GHz to 46 GHz Fout</t>
  </si>
  <si>
    <t>HMC8731</t>
  </si>
  <si>
    <t>https://www.analog.com/media/en/technical-documentation/controlled-drawings/sid000082a-adh598s.pdf</t>
  </si>
  <si>
    <t>ADH606S</t>
  </si>
  <si>
    <t>2 GHz to 18 GHz, UltraLow Phase Noise, Distributed Amplifier</t>
  </si>
  <si>
    <t>HMC8049</t>
  </si>
  <si>
    <t>https://www.analog.com/media/en/technical-documentation/controlled-drawings/sid000018a-adh606s.pdf</t>
  </si>
  <si>
    <t>ADH607S</t>
  </si>
  <si>
    <t>Aerospace, GaAs, MESFET, High Isolation SPDT Switch, DC to 6 GHz</t>
  </si>
  <si>
    <t>HMC8158G7</t>
  </si>
  <si>
    <t>7-Lead Hermetic SMT Package</t>
  </si>
  <si>
    <t>FR-7-1</t>
  </si>
  <si>
    <t>https://www.analog.com/media/en/technical-documentation/controlled-drawings/sid000079a-adh607s.pdf</t>
  </si>
  <si>
    <t>ADH635S</t>
  </si>
  <si>
    <t>Aerospace,  GaAs, PHEMT, MMIC, Driver Amplifier, 18 GHz to 40 GHz</t>
  </si>
  <si>
    <t>HMC6987</t>
  </si>
  <si>
    <t>https://www.analog.com/media/en/technical-documentation/controlled-drawings/sid000013a-adh635s.pdf</t>
  </si>
  <si>
    <t>ADH641S</t>
  </si>
  <si>
    <t>DC to 18 GHz SP4T Non-Reflective Switch</t>
  </si>
  <si>
    <t>HMC8261LH5</t>
  </si>
  <si>
    <t>https://www.analog.com/media/en/technical-documentation/controlled-drawings/sid000047a-adh641s-hmc8261lh5.pdf</t>
  </si>
  <si>
    <t>HMC8790</t>
  </si>
  <si>
    <t>https://www.analog.com/media/en/technical-documentation/controlled-drawings/sid000046a-adh641s-hmc8790.pdf</t>
  </si>
  <si>
    <t>ADH659S</t>
  </si>
  <si>
    <t>Aerospace, GaAs, PHEMT, MMIC, Power Amplifier, DC to 15 GHz</t>
  </si>
  <si>
    <t>HMC8418</t>
  </si>
  <si>
    <t>https://www.analog.com/media/en/technical-documentation/controlled-drawings/sid000023a-adh659s.pdf</t>
  </si>
  <si>
    <t>ADH663S</t>
  </si>
  <si>
    <t>6 GHz to 12 GHz, Double-Balanced High IP3 Mixer</t>
  </si>
  <si>
    <t>HMC8054</t>
  </si>
  <si>
    <t>https://www.analog.com/media/en/technical-documentation/controlled-drawings/sid000059a-adh663s.pdf</t>
  </si>
  <si>
    <t>ADH704S</t>
  </si>
  <si>
    <t>8 GHz, 19-Bit Fractional-N PLL</t>
  </si>
  <si>
    <t>HMC7910G24</t>
  </si>
  <si>
    <t>Fractional-N PLL</t>
  </si>
  <si>
    <t>&gt;50 (Based on process)</t>
  </si>
  <si>
    <t>&gt;60 (Based on process)</t>
  </si>
  <si>
    <t>24-Lead Flat Package with Gullwing Formed Leads</t>
  </si>
  <si>
    <t>https://www.analog.com/media/en/technical-documentation/controlled-drawings/sid000044a-adh704s.pdf</t>
  </si>
  <si>
    <t>ADH732S</t>
  </si>
  <si>
    <t>Aerospace, MMIC, 6.15 GHz to 12 GHz, Hybrid VCO with Varactor Diodes</t>
  </si>
  <si>
    <t>HMC8732LH250</t>
  </si>
  <si>
    <t>MIL-PRF-38534 Class H / Class K</t>
  </si>
  <si>
    <t>https://www.analog.com/media/en/technical-documentation/controlled-drawings/sid000094a-adh732s.pdf</t>
  </si>
  <si>
    <t>ADH739S</t>
  </si>
  <si>
    <t>Aerospace, MMIC, VCO with Divide-By-16, 25.5 GHz – 27 GHz</t>
  </si>
  <si>
    <t>HMC8442LSH6</t>
  </si>
  <si>
    <t>https://www.analog.com/media/en/technical-documentation/controlled-drawings/sid000072a-adh739s.pdf</t>
  </si>
  <si>
    <t>ADH747S</t>
  </si>
  <si>
    <t>Aerospace, Fast Rise Time D-Type Flip-Flop with Programmable Output Voltage &amp; Positive Supply, 14 Gbps</t>
  </si>
  <si>
    <t>HMC7121LH5</t>
  </si>
  <si>
    <t>HIGH SPEED LOGIC</t>
  </si>
  <si>
    <t>Flip Flop</t>
  </si>
  <si>
    <t>MIL-PRF-38535 Class Level B</t>
  </si>
  <si>
    <t>https://www.analog.com/media/en/technical-documentation/controlled-drawings/sid000080a-adh747s.pdf</t>
  </si>
  <si>
    <t>ADH753S</t>
  </si>
  <si>
    <t>Low Noise Amplifier, 1 - 11 GHz</t>
  </si>
  <si>
    <t>HMC8356LH250</t>
  </si>
  <si>
    <t>https://www.analog.com/media/en/technical-documentation/controlled-drawings/sid000066a-adh753s.pdf</t>
  </si>
  <si>
    <t>ADH787S</t>
  </si>
  <si>
    <t>Aerospace, GaAs, MMIC, Fundamental Mixer, 3 GHz to 10 GHz.</t>
  </si>
  <si>
    <t>HMC8451</t>
  </si>
  <si>
    <t>https://www.analog.com/media/en/technical-documentation/controlled-drawings/sid000048a-adh787s.pdf</t>
  </si>
  <si>
    <t>ADH812S</t>
  </si>
  <si>
    <t>Aerospace, GaAs, MMIC, Voltage Variable Attenuator, 5 GHz to 18 GHz</t>
  </si>
  <si>
    <t>HMC8631LH250</t>
  </si>
  <si>
    <t>https://www.analog.com/media/en/technical-documentation/controlled-drawings/sid000074a-adh812s.pdf</t>
  </si>
  <si>
    <t>ADH814S</t>
  </si>
  <si>
    <t>Aerospace GaAs, Broadband Frequency Multiplier, 13 to 24.6 GHz, Die</t>
  </si>
  <si>
    <t>ADH814-000C</t>
  </si>
  <si>
    <t>ADH8191S</t>
  </si>
  <si>
    <t>Aerospace, MMIC, I/Q Mixer, 6 GHz to 26.5 GHz (Die), 8.4 GHz to 12 GHz (LH5)</t>
  </si>
  <si>
    <t>HMC8689</t>
  </si>
  <si>
    <t>https://www.analog.com/media/en/technical-documentation/controlled-drawings/sid000005a-adh8191s.pdf</t>
  </si>
  <si>
    <t>HMC8689LH5</t>
  </si>
  <si>
    <t>ADH835S</t>
  </si>
  <si>
    <t>Aerospace, SiGe, BiCMOS, MMIC, PLL+VCO, 33 MHz to 4100 MHz</t>
  </si>
  <si>
    <t>HMC8157G32</t>
  </si>
  <si>
    <t>Phase Locked Loop with Integrated VCO</t>
  </si>
  <si>
    <t>-40°C to 70°C</t>
  </si>
  <si>
    <t>32-Lead Flat Package with Gullwing Formed Leads</t>
  </si>
  <si>
    <t>Glass/Metal</t>
  </si>
  <si>
    <t>FR-32-1</t>
  </si>
  <si>
    <t>https://www.analog.com/media/en/technical-documentation/controlled-drawings/sid000090a-adh835s.pdf</t>
  </si>
  <si>
    <t>ADH8400S</t>
  </si>
  <si>
    <t>Aerospace,  GaAs, pHEMT, MMIC, Low Noise Amplifier,  2 GHz to 30 GHz</t>
  </si>
  <si>
    <t>HMC8743</t>
  </si>
  <si>
    <t>https://www.analog.com/media/en/technical-documentation/controlled-drawings/sid000026a-adh8400s.pdf</t>
  </si>
  <si>
    <t>ADH8410S</t>
  </si>
  <si>
    <t>Aerospace 0.01 GHz to 10 GHz, GaAs, pHEMT, MMIC, Low Noise Amplifier</t>
  </si>
  <si>
    <t>ADH8410-000C</t>
  </si>
  <si>
    <t>https://www.analog.com/media/en/technical-documentation/data-sheets/adh8410s-die.pdf</t>
  </si>
  <si>
    <t>ADH8410-701LH5</t>
  </si>
  <si>
    <t>https://www.analog.com/media/en/technical-documentation/data-sheets/adh8410s.pdf</t>
  </si>
  <si>
    <t>ADH8411S</t>
  </si>
  <si>
    <t>0.01 GHz to 10 GHz Low Noise Amplifier</t>
  </si>
  <si>
    <t>ADH8411TCPZ-CSH-PT</t>
  </si>
  <si>
    <t>adh8411s_csh.pdf</t>
  </si>
  <si>
    <t>adh8411s_see.pdf</t>
  </si>
  <si>
    <t>6-Lead Lead Frame Chip Scale Package [LFCSP]</t>
  </si>
  <si>
    <t>CP-6-12</t>
  </si>
  <si>
    <t>ADH8411TCPZ-CSL-PT</t>
  </si>
  <si>
    <t>adh8411s_csl.pdf</t>
  </si>
  <si>
    <t>ADH8412S</t>
  </si>
  <si>
    <t>Low Noise Amplifier, 0.4 GHz to 11 GHz</t>
  </si>
  <si>
    <t>ADH8412TCPZ-PT-CSH</t>
  </si>
  <si>
    <t>ADH8412S-CSL TID HDR</t>
  </si>
  <si>
    <t xml:space="preserve">ADH8412S DD </t>
  </si>
  <si>
    <t>ADH8412TCPZ-PT-CSL</t>
  </si>
  <si>
    <t>adh8412-hdr.pdf</t>
  </si>
  <si>
    <t>ADH8412TCPZ-R7-CSH</t>
  </si>
  <si>
    <t>ADH8412S-CSH TID HDR</t>
  </si>
  <si>
    <t>ADH8412TCPZ-R7-CSL</t>
  </si>
  <si>
    <t>ADH849S</t>
  </si>
  <si>
    <t>Aerospace, GaAs, pHEMT, MMIC, High Isolation SPDT Non-Reflective Switch, DC to 6 GHz (Die and LH5)</t>
  </si>
  <si>
    <t>HMC7916LH5</t>
  </si>
  <si>
    <t>0°C to 75°C</t>
  </si>
  <si>
    <t>https://www.analog.com/media/en/technical-documentation/controlled-drawings/sid000064a-adh849s-lh5.pdf</t>
  </si>
  <si>
    <t>HMC8367</t>
  </si>
  <si>
    <t>https://www.analog.com/media/en/technical-documentation/controlled-drawings/sid000065a-adh849s-chip.pdf</t>
  </si>
  <si>
    <t>ADH856S</t>
  </si>
  <si>
    <t>Aerospace, 5-Bit Digital Time Delay with Programmable Output, 28 Gbps.</t>
  </si>
  <si>
    <t>HMC8693LC5</t>
  </si>
  <si>
    <t>Time Delay</t>
  </si>
  <si>
    <t>32-Terminal Ceramic Leadless Chip Carrier</t>
  </si>
  <si>
    <t>HE-32-1</t>
  </si>
  <si>
    <t>https://www.analog.com/media/en/technical-documentation/controlled-drawings/sid000091a-adh856s.pdf</t>
  </si>
  <si>
    <t>ADH902S</t>
  </si>
  <si>
    <t>5 GHz to 11 GHz, Low Noise Amplifier</t>
  </si>
  <si>
    <t>HMC8449</t>
  </si>
  <si>
    <t>https://www.analog.com/media/en/technical-documentation/controlled-drawings/sid000037a-adh902s.pdf</t>
  </si>
  <si>
    <t>ADH903S</t>
  </si>
  <si>
    <t>Aerospace, GaAs, pHEMT, MMIC, Low Noise Amplifier, 6 GHz to 18 GHz (Die), 6 GHz to 17 GHz (LH5 Pkg)</t>
  </si>
  <si>
    <t>HMC8669</t>
  </si>
  <si>
    <t>https://www.analog.com/media/en/technical-documentation/controlled-drawings/sid000022a-adh903s.pdf</t>
  </si>
  <si>
    <t>HMC8679LH5</t>
  </si>
  <si>
    <t>https://www.analog.com/media/en/technical-documentation/controlled-drawings/sid000081a-adh903s.pdf</t>
  </si>
  <si>
    <t>ADH913S</t>
  </si>
  <si>
    <t>0.6 GHz to 20 GHz, SDLVA</t>
  </si>
  <si>
    <t>HMC8252LH5</t>
  </si>
  <si>
    <t>SDLVA</t>
  </si>
  <si>
    <t>https://www.analog.com/media/en/technical-documentation/controlled-drawings/sid000053s-adh913s.pdf</t>
  </si>
  <si>
    <t>ADH939S</t>
  </si>
  <si>
    <t>Aerospace 0.1 GHz to 40 GHz, GaAs, MMIC, 5-Bit 1.0 dB LSB, Digital Attenuator</t>
  </si>
  <si>
    <t>ADH939-000C</t>
  </si>
  <si>
    <t>ADH941S</t>
  </si>
  <si>
    <t>Aerospace 0.1 GHz to 30 GHz, GaAs, MMIC, 5-Bit 0.5 dB LSB, Digital Attenuator</t>
  </si>
  <si>
    <t>ADH941-000C</t>
  </si>
  <si>
    <t>ADH943AS</t>
  </si>
  <si>
    <t>&gt;1.5 W (34 dBm), 24 GHz to 34 GHz Power Amplifier</t>
  </si>
  <si>
    <t>HMC7874PM5E</t>
  </si>
  <si>
    <t>32-Lead Lead Frame Chip Scale Package, Premolded Cavity  5 x 5 mm Body and 1.20 mm Package Height</t>
  </si>
  <si>
    <t>CG-32-2</t>
  </si>
  <si>
    <t>https://www.analog.com/media/en/technical-documentation/controlled-drawings/sid000001a-adh943as.pdf</t>
  </si>
  <si>
    <t>ADH952AS</t>
  </si>
  <si>
    <t>Aerospace, GaAs, pHEMT, MMIC, 2 Watt Power Amplifier with Power Detector, 8 GHz to 14 GHz</t>
  </si>
  <si>
    <t>HMC8825LP5GE</t>
  </si>
  <si>
    <t>NASA/EEE-INST-002</t>
  </si>
  <si>
    <t>24-Lead Lead Frame Chip Scale Package  5 x 5 mm Body and 0.85 mm Package Height</t>
  </si>
  <si>
    <t>CP-24-20</t>
  </si>
  <si>
    <t>https://www.analog.com/media/en/technical-documentation/controlled-drawings/sid000092a-adh952as.pdf</t>
  </si>
  <si>
    <t>ADH985S</t>
  </si>
  <si>
    <t>Aerospace, GaAs, MMIC, Voltage Variable Attenuator, 20 GHz to 50 GHz</t>
  </si>
  <si>
    <t>HMC8480</t>
  </si>
  <si>
    <t>https://www.analog.com/media/en/technical-documentation/controlled-drawings/sid000083a-adh985s.pdf</t>
  </si>
  <si>
    <t>ADH986S</t>
  </si>
  <si>
    <t>GaAs, MMIC, Reflective SPDT Switch, 0.1 GHz to 50 GHz</t>
  </si>
  <si>
    <t>HMC8452</t>
  </si>
  <si>
    <t>https://www.analog.com/media/en/technical-documentation/controlled-drawings/sid000063a-adh986s.pdf</t>
  </si>
  <si>
    <t>ADH987S</t>
  </si>
  <si>
    <t>Aerospace, 3.3 V Low Noise 1:9 Fanout Buffer, DC to 8 GHz</t>
  </si>
  <si>
    <t>ADH987G32-EMX</t>
  </si>
  <si>
    <t>ADH987R701G32</t>
  </si>
  <si>
    <t>ADH987_HDR.xlsx</t>
  </si>
  <si>
    <t>HMC8626LP5E</t>
  </si>
  <si>
    <t>32-Lead Lead Frame Chip Scale Package 5 x 5 mm Body and 0.85 mm Package Height</t>
  </si>
  <si>
    <t>CP-32-35</t>
  </si>
  <si>
    <t>https://www.analog.com/media/en/technical-documentation/controlled-drawings/sid0000084-adh987s.pdf</t>
  </si>
  <si>
    <t>ADH-ALH369S</t>
  </si>
  <si>
    <t>24 GHz to 40 GHz, Low Noise Amplifier</t>
  </si>
  <si>
    <t>HMC7482</t>
  </si>
  <si>
    <t>https://www.analog.com/media/en/technical-documentation/controlled-drawings/sid000014a-adh-alh369s.pdf</t>
  </si>
  <si>
    <t>ADH-ALH382S</t>
  </si>
  <si>
    <t>57 GHz to 65 GHz Low Noise Amplifier</t>
  </si>
  <si>
    <t>HMC8657</t>
  </si>
  <si>
    <t>https://www.analog.com/media/en/technical-documentation/controlled-drawings/sid000034a-adh-alh382s.pdf</t>
  </si>
  <si>
    <t>ADH-ALH444S</t>
  </si>
  <si>
    <t>1 GHz to 12 GHz, Low Noise Amplifier</t>
  </si>
  <si>
    <t>HMC8532</t>
  </si>
  <si>
    <t>https://www.analog.com/media/en/technical-documentation/controlled-drawings/sid000035a-adh-alh444s.pdf</t>
  </si>
  <si>
    <t>ADH-ALH445S</t>
  </si>
  <si>
    <t>Aerospace, GaAs, HEMT, MMIC, Low Noise Amplifier, 18 GHz to 43 GHz.</t>
  </si>
  <si>
    <t>HMC8735</t>
  </si>
  <si>
    <t>https://www.analog.com/media/en/technical-documentation/controlled-drawings/sid000028b-adh-alh445s.pdf</t>
  </si>
  <si>
    <t>ADH-APH634S</t>
  </si>
  <si>
    <t>81 GHz to 86 GHz, Medium Power Amplifier</t>
  </si>
  <si>
    <t>HMC8243</t>
  </si>
  <si>
    <t>https://www.analog.com/media/en/technical-documentation/controlled-drawings/sid000019a-adh-aph634s.pdf</t>
  </si>
  <si>
    <t>ADL5501S</t>
  </si>
  <si>
    <t>Aerospace 50 MHz TO 6 GHz TruPwr™ Detector</t>
  </si>
  <si>
    <t>5962L1123902VHA</t>
  </si>
  <si>
    <t>RMS Detectors</t>
  </si>
  <si>
    <t>ADL5501S_LDR_.pdf</t>
  </si>
  <si>
    <t>ADL5501S_SEE_.pdf</t>
  </si>
  <si>
    <t>https://landandmaritimeapps.dla.mil/Downloads/MilSpec/Smd/11239.pdf</t>
  </si>
  <si>
    <t>5962R1123901VHA</t>
  </si>
  <si>
    <t>ADL5501S_HDR_.pdf</t>
  </si>
  <si>
    <t>ADL5501AL-EMX</t>
  </si>
  <si>
    <t>ADL5513S</t>
  </si>
  <si>
    <t>Aerospace 1 MHz to 4 GHz, 80 dB Logarithmic Detector/Controller</t>
  </si>
  <si>
    <t>5962R1120301VXA</t>
  </si>
  <si>
    <t>ADL5513S_HDR.pdf</t>
  </si>
  <si>
    <t>ADL5513S_SEL_.pdf</t>
  </si>
  <si>
    <t>https://landandmaritimeapps.dla.mil/Downloads/MilSpec/Smd/11203.pdf</t>
  </si>
  <si>
    <t>ADL5513AF-EMX</t>
  </si>
  <si>
    <t>ADL6010S</t>
  </si>
  <si>
    <t>Aerospace ADL6010S Fast Responding, 45 dB Range, 0.5 GHz TO 43.5 GHz Envelope Detector</t>
  </si>
  <si>
    <t>ADL6010LSH6-EMX</t>
  </si>
  <si>
    <t>Envelope Detectors</t>
  </si>
  <si>
    <t>https://www.analog.com/media/en/technical-documentation/data-sheets/asd0016564.pdf</t>
  </si>
  <si>
    <t>ADL6010R000C</t>
  </si>
  <si>
    <t>adl6010s_hdr_.pdf</t>
  </si>
  <si>
    <t>Contact ADI</t>
  </si>
  <si>
    <t>ADL6010R703LSH6</t>
  </si>
  <si>
    <t>ADL8120</t>
  </si>
  <si>
    <t>30 kHz to 20 GHz, Ultra-Wideband, Low Noise Amplifier</t>
  </si>
  <si>
    <t>ADL8120ACPZN-CSL</t>
  </si>
  <si>
    <t>ADL8120-CSL HDR TID</t>
  </si>
  <si>
    <t>ADL8120-CSL SEE Report</t>
  </si>
  <si>
    <t>8-Lead Lead Frame Chip Scale Package [LFCSP]</t>
  </si>
  <si>
    <t>CP-8-30</t>
  </si>
  <si>
    <t>https://www.analog.com/media/en/technical-documentation/data-sheets/adl8120-csl.pdf</t>
  </si>
  <si>
    <t>ADL8120ACPZN-R7-CSL</t>
  </si>
  <si>
    <t>ADL8140</t>
  </si>
  <si>
    <t>10 GHz to 18 GHz Low Noise Amplifier</t>
  </si>
  <si>
    <t>ADL8140ACPZN-CSL</t>
  </si>
  <si>
    <t>ADL8140-CSL HDR TID Report</t>
  </si>
  <si>
    <t>ADL8140-CSL SEE Report</t>
  </si>
  <si>
    <t>https://www.analog.com/media/en/technical-documentation/data-sheets/adl8140-csl.pdf</t>
  </si>
  <si>
    <t>ADL8140ACPZN-R7-CSL</t>
  </si>
  <si>
    <t>ADL8141</t>
  </si>
  <si>
    <t>GaAs, pHEMT, MMIC, Low Noise Amplifier, 14 GHz to 24 GHz</t>
  </si>
  <si>
    <t>ADL8141ACPZN-CSL</t>
  </si>
  <si>
    <t xml:space="preserve">adl8141_hdr.pdf </t>
  </si>
  <si>
    <t xml:space="preserve">https://www.analog.com/media/en/technical-documentation/data-sheets/adl8141-csl.pdf </t>
  </si>
  <si>
    <t>ADL8141ACPZN-R7-CSL</t>
  </si>
  <si>
    <t>ADL8142-2</t>
  </si>
  <si>
    <t>GaAs, pHEMT, MMIC, Low Noise Amplifier, 23 GHz to 31 GHz</t>
  </si>
  <si>
    <t>ADL8142-2C-CSL</t>
  </si>
  <si>
    <t xml:space="preserve">adl8142-2_hdr.pdf </t>
  </si>
  <si>
    <t>https://www.analog.com/media/en/technical-documentation/data-sheets/adl8142-2.pdf</t>
  </si>
  <si>
    <t>ADL8142S</t>
  </si>
  <si>
    <t>ADL8142ACPZN-CSL</t>
  </si>
  <si>
    <t xml:space="preserve">adl8142s_hdr.pdf </t>
  </si>
  <si>
    <t>adl8142s-single-event-effects-report.pdf</t>
  </si>
  <si>
    <t>ADL8142ACPZN-R7-CSL</t>
  </si>
  <si>
    <t>ADL8143</t>
  </si>
  <si>
    <t>8 GHz to 14 GHz, Low Noise Amplifier</t>
  </si>
  <si>
    <t>ADL8143ACPZN-CSL</t>
  </si>
  <si>
    <t>ADL8143-CSL HDR TID</t>
  </si>
  <si>
    <t>ADL8143 SEE Report</t>
  </si>
  <si>
    <t>https://www.analog.com/media/en/technical-documentation/data-sheets/adl8143-csl.pdf</t>
  </si>
  <si>
    <t>ADL8143ACPZN-R7-CSL</t>
  </si>
  <si>
    <t>ADL9006S</t>
  </si>
  <si>
    <t>Aerospace, GaAs, pHEMT, MMIC, Low Noise Amplifier, 2 GHz to 28 GHz</t>
  </si>
  <si>
    <t>HMC8841ACGZN</t>
  </si>
  <si>
    <t>32-Lead Lead Frame Chip Scale Package</t>
  </si>
  <si>
    <t>https://www.analog.com/media/en/technical-documentation/controlled-drawings/sid000093a-adl9006s.pdf</t>
  </si>
  <si>
    <t>ADLT2852S</t>
  </si>
  <si>
    <t>3.3 V, 20 Mbps RS485/RS422 Transceiver</t>
  </si>
  <si>
    <t>ADLT2852MPS-CSL#PBF</t>
  </si>
  <si>
    <t>INTERFACE/ISOLATION</t>
  </si>
  <si>
    <t>RS-485 and RS-422</t>
  </si>
  <si>
    <t>adlt2852s-csl-hdr.pdf</t>
  </si>
  <si>
    <t>14-Lead Plastic Small Outline (Narrow .150 Inch)</t>
  </si>
  <si>
    <t>05-08-1610 (S14)</t>
  </si>
  <si>
    <t>ADRF5022</t>
  </si>
  <si>
    <t>Silicon SPDT Switch, Nonreflective, 100 MHz to 45 GHz</t>
  </si>
  <si>
    <t>ADRF5022BCCZ-CSL</t>
  </si>
  <si>
    <t>-40°C to 105°C</t>
  </si>
  <si>
    <t>ADRF5022-CSL_HDR</t>
  </si>
  <si>
    <t>ADRF5022-CSL_SEE</t>
  </si>
  <si>
    <t>20-Terminal Land Grid Array [LGA]</t>
  </si>
  <si>
    <t>CC-20-19</t>
  </si>
  <si>
    <t>https://www.analog.com/media/en/technical-documentation/data-sheets/adrf5022-csl.pdf</t>
  </si>
  <si>
    <t>ADRF5022BCCZ-CSLR7</t>
  </si>
  <si>
    <t>ADRF5048</t>
  </si>
  <si>
    <t>Silicon SP4T Switch, Nonreflective, 100 MHz to 45 GHz</t>
  </si>
  <si>
    <t>ADRF5048BCCZ-CSL</t>
  </si>
  <si>
    <t>ADRF5048-CSL_HDR</t>
  </si>
  <si>
    <t>ADRF5048-CSL_SEE</t>
  </si>
  <si>
    <t>24-Terminal Land Grid Array [LGA]</t>
  </si>
  <si>
    <t>CC-24-14</t>
  </si>
  <si>
    <t>https://www.analog.com/media/en/technical-documentation/data-sheets/adrf5048-csl.pdf</t>
  </si>
  <si>
    <t>ADRF5048BCCZ-CSLR7</t>
  </si>
  <si>
    <t>ADRF5050</t>
  </si>
  <si>
    <t>Nonreflective, Silicon SP4T Switch, 100 MHz to 20 GHz</t>
  </si>
  <si>
    <t>ADRF5050BCCZ-CSL</t>
  </si>
  <si>
    <t>ADRF5050-CSL_HDR</t>
  </si>
  <si>
    <t>ADRF5050-CSL_SEE</t>
  </si>
  <si>
    <t>CC-24-16</t>
  </si>
  <si>
    <t>https://www.analog.com/media/en/technical-documentation/data-sheets/adrf5050-csl.pdf</t>
  </si>
  <si>
    <t>ADRF5050BCCZ-CSLR7</t>
  </si>
  <si>
    <t>ADRF5144</t>
  </si>
  <si>
    <t>10 W Average, Silicon SPDT, Reflective Switch, 1 GHz to 20 GHz</t>
  </si>
  <si>
    <t>ADRF5144BCCZ-CSL</t>
  </si>
  <si>
    <t>ADRF5144-CSL_HDR</t>
  </si>
  <si>
    <t>ADRF5144-CSL_SEE</t>
  </si>
  <si>
    <t>CC-20-13</t>
  </si>
  <si>
    <t>https://www.analog.com/media/en/technical-documentation/data-sheets/adrf5144-csl.pdf</t>
  </si>
  <si>
    <t>ADRF5144BCCZ-CSLR7</t>
  </si>
  <si>
    <t>ADRF6780S</t>
  </si>
  <si>
    <t>5.9 GHz to 23.6 GHz, Wideband, Microwave Upconverter</t>
  </si>
  <si>
    <t>ADRF6780ACPZN-CSL</t>
  </si>
  <si>
    <t>I/Q Upconverters/Transmitters</t>
  </si>
  <si>
    <t>ADRF6780S-CSL HDR</t>
  </si>
  <si>
    <t>ADRF6780S SEE Report</t>
  </si>
  <si>
    <t>32-Lead Lead Frame Chip Scale Package [LFCSP]</t>
  </si>
  <si>
    <t>CP-32-20</t>
  </si>
  <si>
    <t xml:space="preserve">https://www.analog.com/media/en/technical-documentation/data-sheets/adrf6780s-csl.pdf </t>
  </si>
  <si>
    <t>ADRF6780ACPZN-CSL-R7</t>
  </si>
  <si>
    <t xml:space="preserve">ADRF6780S </t>
  </si>
  <si>
    <t>ADRF6780ACPZN-CSH</t>
  </si>
  <si>
    <t>ADRF6780S-CSH HDR</t>
  </si>
  <si>
    <t>https://www.analog.com/media/en/technical-documentation/data-sheets/adrf6780s-csh.pdf</t>
  </si>
  <si>
    <t>ADUM141ES</t>
  </si>
  <si>
    <t>Aerospace 150 MBPS Quad-Channel Digital Isolator</t>
  </si>
  <si>
    <t>ADUM141E1AF-EMX</t>
  </si>
  <si>
    <t>Standard Digital Isolators</t>
  </si>
  <si>
    <t>ADUM141E1L703F</t>
  </si>
  <si>
    <t>ADuM141ES_HDR_.pdf</t>
  </si>
  <si>
    <t>ADuM141ES_SEL_.pdf</t>
  </si>
  <si>
    <t>ADUM3190S</t>
  </si>
  <si>
    <t>Aerospace High Stability Isolated Error Amplifier</t>
  </si>
  <si>
    <t>ADUM3190AF-EMX</t>
  </si>
  <si>
    <t>Isolation Amplifiers</t>
  </si>
  <si>
    <t>ADUM3190P703F</t>
  </si>
  <si>
    <t>adum3190s_hdr_.pdf</t>
  </si>
  <si>
    <t>adum3190s_see_.pdf</t>
  </si>
  <si>
    <t>ADUM7442S</t>
  </si>
  <si>
    <t>Aerospace 25 MBPS Quad-Channel Digital Isolator</t>
  </si>
  <si>
    <t>ADUM7442AF-EMX</t>
  </si>
  <si>
    <t>16-Lead Ceramic Flat Package [FLATPACK]</t>
  </si>
  <si>
    <t>ADUM7442R703F</t>
  </si>
  <si>
    <t>ADuM7442S_HDR_.pdf</t>
  </si>
  <si>
    <t>ADuM7442S_SEE_.pdf</t>
  </si>
  <si>
    <t>AMP01S</t>
  </si>
  <si>
    <t>Aerospace Low-Noise Precision Instrumentation Amplifier</t>
  </si>
  <si>
    <t>5962-8863003VKA</t>
  </si>
  <si>
    <t>AMP01S_HDR</t>
  </si>
  <si>
    <t>24-Lead Ceramic Flat Package [FLATPACK]</t>
  </si>
  <si>
    <t>F-24</t>
  </si>
  <si>
    <t>https://landandmaritimeapps.dla.mil/Downloads/MilSpec/Smd/88630.pdf</t>
  </si>
  <si>
    <t>5962-8863003VVA</t>
  </si>
  <si>
    <t>AMP01-000C</t>
  </si>
  <si>
    <t>DAC08S</t>
  </si>
  <si>
    <t>Aerospace 8-Bit High Speed Multiplying DAC</t>
  </si>
  <si>
    <t>5962L8993203VFA</t>
  </si>
  <si>
    <t>DAC08S_LDR_.pdf</t>
  </si>
  <si>
    <t>dac08_dd.pdf</t>
  </si>
  <si>
    <t>05-08-7003</t>
  </si>
  <si>
    <t>https://landandmaritimeapps.dla.mil/Downloads/MilSpec/Smd/89932.pdf</t>
  </si>
  <si>
    <t>5962R8993201V2A</t>
  </si>
  <si>
    <t>DAC08S_HDR_.pdf</t>
  </si>
  <si>
    <t>5962R8993201VEA</t>
  </si>
  <si>
    <t>5962R8993201VFA</t>
  </si>
  <si>
    <t>5962R8993202V2A</t>
  </si>
  <si>
    <t>5962R8993202VEA</t>
  </si>
  <si>
    <t>5962R8993202VFA</t>
  </si>
  <si>
    <t>DAC080000C</t>
  </si>
  <si>
    <t>DAC08S_HDR</t>
  </si>
  <si>
    <t>DAC08AF-EMX</t>
  </si>
  <si>
    <t>DAC08ARC-EMX</t>
  </si>
  <si>
    <t>DAC08R000C</t>
  </si>
  <si>
    <t>JM38510/11302SEA</t>
  </si>
  <si>
    <t>MIL-PRF-38535 Class Level S</t>
  </si>
  <si>
    <t>DAC100S</t>
  </si>
  <si>
    <t>Aerospace 10-Bit Current Output DAC</t>
  </si>
  <si>
    <t>DAC1000713Q</t>
  </si>
  <si>
    <t>Included with Purchase*</t>
  </si>
  <si>
    <t>HMC8413</t>
  </si>
  <si>
    <t>Low Noise Amplifier, 0.01 GHz to 9 GHz</t>
  </si>
  <si>
    <t>HMC8413LP2FE-CSL</t>
  </si>
  <si>
    <t>HMC8413-CSL_HDR</t>
  </si>
  <si>
    <t xml:space="preserve">https://www.analog.com/media/en/technical-documentation/data-sheets/hmc8413-csl.pdf </t>
  </si>
  <si>
    <t>LT8650S</t>
  </si>
  <si>
    <t>Dual Channel 4A, 42V, Synchronous Step-Down Silent Switcher 2 with 6.2µA Quiescent Current</t>
  </si>
  <si>
    <t>LT8650SHV-CSL#PBF</t>
  </si>
  <si>
    <t>POWER MANAGEMENT</t>
  </si>
  <si>
    <t>Switching Regulators</t>
  </si>
  <si>
    <t>LT8650S-CSL HDR TID Report</t>
  </si>
  <si>
    <t>32 (28)-Lead LQFN Package</t>
  </si>
  <si>
    <t>05-08-1665</t>
  </si>
  <si>
    <t>https://www.analog.com/media/en/technical-documentation/data-sheets/lt8650s-csl.pdf</t>
  </si>
  <si>
    <t>MAT02S</t>
  </si>
  <si>
    <t>Aerospace Low Noise, Matched Dual NPN Transistor</t>
  </si>
  <si>
    <t>MAT020000C</t>
  </si>
  <si>
    <t>Matched Transistors</t>
  </si>
  <si>
    <t xml:space="preserve">mat02-hdr.pdf </t>
  </si>
  <si>
    <t>MAT020903H</t>
  </si>
  <si>
    <t>6-Pin Metal Header Package [TO-78]</t>
  </si>
  <si>
    <t xml:space="preserve">Metal </t>
  </si>
  <si>
    <t>H-6</t>
  </si>
  <si>
    <t>OP07S</t>
  </si>
  <si>
    <t>Aerospace Ultra Low Offset Voltage Op Amp</t>
  </si>
  <si>
    <t>5962R9863901VGA</t>
  </si>
  <si>
    <t>OP07S_HDR_.pdf</t>
  </si>
  <si>
    <t>op07_dd.pdf</t>
  </si>
  <si>
    <t>https://landandmaritimeapps.dla.mil/Downloads/MilSpec/Smd/98639.pdf</t>
  </si>
  <si>
    <t>5962R9863901VHA</t>
  </si>
  <si>
    <t>5962R9863901VPA</t>
  </si>
  <si>
    <t>JM38510/13501BGA</t>
  </si>
  <si>
    <t>H-08-1</t>
  </si>
  <si>
    <t>JM38510/13501BPA</t>
  </si>
  <si>
    <t>JM38510/13502BGA</t>
  </si>
  <si>
    <t>OP070000C</t>
  </si>
  <si>
    <t>OP07S_HDR</t>
  </si>
  <si>
    <t>OP07R000C</t>
  </si>
  <si>
    <t>OP11S</t>
  </si>
  <si>
    <t>Aerospace Quad Matched 741-Type Op Amp</t>
  </si>
  <si>
    <t>5962-8980101VDA</t>
  </si>
  <si>
    <t>OP11S_HDR</t>
  </si>
  <si>
    <t>https://landandmaritimeapps.dla.mil/Downloads/MilSpec/Smd/89801.pdf</t>
  </si>
  <si>
    <t>OP110000C</t>
  </si>
  <si>
    <t>OP15S</t>
  </si>
  <si>
    <t>Aerospace Precision JFET-Input Op Amp</t>
  </si>
  <si>
    <t>5962R8954203VGA</t>
  </si>
  <si>
    <t>OP15S_HDR_.pdf</t>
  </si>
  <si>
    <t>https://landandmaritimeapps.dla.mil/Downloads/MilSpec/Smd/89542.pdf</t>
  </si>
  <si>
    <t>5962R8954203VHA</t>
  </si>
  <si>
    <t>5962R8954203VPA</t>
  </si>
  <si>
    <t>OP16S</t>
  </si>
  <si>
    <t>5962R8954304VGA</t>
  </si>
  <si>
    <t>OP16S_HDR_.pdf</t>
  </si>
  <si>
    <t>https://landandmaritimeapps.dla.mil/Downloads/MilSpec/Smd/89543.pdf</t>
  </si>
  <si>
    <t>OP200S</t>
  </si>
  <si>
    <t>Aerospace Dual Low-Offset, Low Power Op Amp</t>
  </si>
  <si>
    <t>5962-8859301V2A</t>
  </si>
  <si>
    <t>https://landandmaritimeapps.dla.mil/Downloads/MilSpec/Smd/88593.pdf</t>
  </si>
  <si>
    <t>5962-8859301VPA</t>
  </si>
  <si>
    <t>OP215S</t>
  </si>
  <si>
    <t>Aerospace Dual Precision JFET Input Op Amp</t>
  </si>
  <si>
    <t>5962R8853801VGA</t>
  </si>
  <si>
    <t>OP215S_HDR_.pdf</t>
  </si>
  <si>
    <t>op215s_dd.pdf</t>
  </si>
  <si>
    <t>https://landandmaritimeapps.dla.mil/Downloads/MilSpec/Smd/88538.pdf</t>
  </si>
  <si>
    <t>5962R8853801VPA</t>
  </si>
  <si>
    <t>OP227S</t>
  </si>
  <si>
    <t>Aerospace Dual Low Noise Low Offset Inst. Op Amp</t>
  </si>
  <si>
    <t>OP227R903M</t>
  </si>
  <si>
    <t>OP227S_HDR_.pdf</t>
  </si>
  <si>
    <t>OP227R903Y</t>
  </si>
  <si>
    <t>OP270S</t>
  </si>
  <si>
    <t>Aerospace Dual Very Low Noise Precision Op Amp</t>
  </si>
  <si>
    <t>5962-8872101VPA</t>
  </si>
  <si>
    <t>OP270S_HDR_.pdf</t>
  </si>
  <si>
    <t>OP270S_DD.xlsx</t>
  </si>
  <si>
    <t>https://landandmaritimeapps.dla.mil/Downloads/MilSpec/Smd/88721.pdf</t>
  </si>
  <si>
    <t>5962L8872103VDA</t>
  </si>
  <si>
    <t>OP270S_LDR_.pdf</t>
  </si>
  <si>
    <t>5962R8872101V2A</t>
  </si>
  <si>
    <t>5962R8872101VDA</t>
  </si>
  <si>
    <t>5962R8872101VPA</t>
  </si>
  <si>
    <t>OP27S</t>
  </si>
  <si>
    <t>Aerospace Low Noise Precision Op Amp</t>
  </si>
  <si>
    <t>5962L9468003VHA</t>
  </si>
  <si>
    <t>OP27S_LDR_.pdf</t>
  </si>
  <si>
    <t>OP27S_DD.xlsx</t>
  </si>
  <si>
    <t>https://landandmaritimeapps.dla.mil/Downloads/MilSpec/Smd/94680.pdf</t>
  </si>
  <si>
    <t>5962R9468002V2A</t>
  </si>
  <si>
    <t>OP27S_HDR_.pdf</t>
  </si>
  <si>
    <t>5962R9468002VGA</t>
  </si>
  <si>
    <t>5962R9468002VHA</t>
  </si>
  <si>
    <t>5962R9468002VPA</t>
  </si>
  <si>
    <t>JM38510/13503BGA</t>
  </si>
  <si>
    <t>JM38510/13503BPA</t>
  </si>
  <si>
    <t>JM38510/13503SGA</t>
  </si>
  <si>
    <t>JM38510/13503SPA</t>
  </si>
  <si>
    <t>OP270000C</t>
  </si>
  <si>
    <t>OP27AL-EMX</t>
  </si>
  <si>
    <t>OP27R000C</t>
  </si>
  <si>
    <t>OP37S</t>
  </si>
  <si>
    <t>Aerospace Low Noise Precision High Speed Op Amp</t>
  </si>
  <si>
    <t>5962-8853701VGA</t>
  </si>
  <si>
    <t>OP37S_HDR</t>
  </si>
  <si>
    <t>https://landandmaritimeapps.dla.mil/Downloads/MilSpec/Smd/88537.pdf</t>
  </si>
  <si>
    <t>5962-8853701VPA</t>
  </si>
  <si>
    <t>OP400S</t>
  </si>
  <si>
    <t>Aerospace Quad Low-Offset, Low-Power Op Amp</t>
  </si>
  <si>
    <t>5962-8777101V3A</t>
  </si>
  <si>
    <t>OP400S_HDR</t>
  </si>
  <si>
    <t>28-Terminal Ceramic Leadless Chip Carrier [LCC]</t>
  </si>
  <si>
    <t>E-28-1</t>
  </si>
  <si>
    <t>https://landandmaritimeapps.dla.mil/Downloads/MilSpec/Smd/87771.pdf</t>
  </si>
  <si>
    <t>5962-8777101VCA</t>
  </si>
  <si>
    <t>5962-8777101VKA</t>
  </si>
  <si>
    <t>5962L8777102VKA</t>
  </si>
  <si>
    <t>OP400S_LDR</t>
  </si>
  <si>
    <t>5962R8777101VCA</t>
  </si>
  <si>
    <t>5962R8777101VKA</t>
  </si>
  <si>
    <t>OP400-000C</t>
  </si>
  <si>
    <t>OP400AN-EMX</t>
  </si>
  <si>
    <t>OP42S</t>
  </si>
  <si>
    <t>Aerospace High Speed, Fast Settling Precision JFET-Input</t>
  </si>
  <si>
    <t>5962-8851301VGA</t>
  </si>
  <si>
    <t>OP42S_HDR</t>
  </si>
  <si>
    <t>https://landandmaritimeapps.dla.mil/Downloads/MilSpec/Smd/88513.pdf</t>
  </si>
  <si>
    <t>5962-8851301VPA</t>
  </si>
  <si>
    <t>OP467S</t>
  </si>
  <si>
    <t>Aerospace Quad High-Speed Precision Op Amp</t>
  </si>
  <si>
    <t>5962-9325801V2A</t>
  </si>
  <si>
    <t>OP467S_HDR</t>
  </si>
  <si>
    <t>op467_dd_2e12.pdf</t>
  </si>
  <si>
    <t>https://landandmaritimeapps.dla.mil/Downloads/MilSpec/Smd/93258.pdf</t>
  </si>
  <si>
    <t>5962R9325801VCA</t>
  </si>
  <si>
    <t>5962R9325801VDA</t>
  </si>
  <si>
    <t>OP467AM-EMX</t>
  </si>
  <si>
    <t>OP467R000C</t>
  </si>
  <si>
    <t>OP470S</t>
  </si>
  <si>
    <t>Aerospace Very Low-Noise Quad Op Amp</t>
  </si>
  <si>
    <t>5962-8856501V2A</t>
  </si>
  <si>
    <t>OP470S_HDR_.pdf</t>
  </si>
  <si>
    <t>op470_dd.pdf</t>
  </si>
  <si>
    <t>https://landandmaritimeapps.dla.mil/Downloads/MilSpec/Smd/88565.pdf</t>
  </si>
  <si>
    <t>5962L8856503VCA</t>
  </si>
  <si>
    <t>OP470S_LDR_.pdf</t>
  </si>
  <si>
    <t>5962R8856501V2A</t>
  </si>
  <si>
    <t>5962R8856501VCA</t>
  </si>
  <si>
    <t>5962R8856501VKA</t>
  </si>
  <si>
    <t>OP471S</t>
  </si>
  <si>
    <t>Aerospace High Speed Low Noise Quad Op Amp</t>
  </si>
  <si>
    <t>5962L8856504VDA</t>
  </si>
  <si>
    <t>OP471S_LDR_.pdf</t>
  </si>
  <si>
    <t>op471_dd.pdf</t>
  </si>
  <si>
    <t>5962R8856502VCA</t>
  </si>
  <si>
    <t>OP471S_HDR_.pdf</t>
  </si>
  <si>
    <t>5962R8856502VDA</t>
  </si>
  <si>
    <t>5962R8856502VKA</t>
  </si>
  <si>
    <t>OP471R000C</t>
  </si>
  <si>
    <t>OP484S</t>
  </si>
  <si>
    <t>Aerospace Precision, Rail-to-Rail Input &amp; Output Operational Amplifier</t>
  </si>
  <si>
    <t>5962-0051701VCA</t>
  </si>
  <si>
    <t>OP484S_HDR_.pdf</t>
  </si>
  <si>
    <t>op484_dd_2e12.pdf</t>
  </si>
  <si>
    <t>https://landandmaritimeapps.dla.mil/Downloads/MilSpec/Smd/00517.pdf</t>
  </si>
  <si>
    <t>5962-0051701VDA</t>
  </si>
  <si>
    <t xml:space="preserve">F-14-1 </t>
  </si>
  <si>
    <t>5962L0051702VDA</t>
  </si>
  <si>
    <t>OP484S_LDR_.pdf</t>
  </si>
  <si>
    <t>5962R0051701VCA</t>
  </si>
  <si>
    <t>5962R0051701VDA</t>
  </si>
  <si>
    <t>OP484AM-EMX</t>
  </si>
  <si>
    <t>OP484R000C</t>
  </si>
  <si>
    <t>OP77S</t>
  </si>
  <si>
    <t>Aerospace Ultralow Offset Voltage Operational Amplifier</t>
  </si>
  <si>
    <t>5962-8773802V2A</t>
  </si>
  <si>
    <t>OP77S_HDR</t>
  </si>
  <si>
    <t>https://landandmaritimeapps.dla.mil/Downloads/MilSpec/Smd/87738.pdf</t>
  </si>
  <si>
    <t>5962-8773802VGA</t>
  </si>
  <si>
    <t>5962-8773802VHA</t>
  </si>
  <si>
    <t>5962-8773802VPA</t>
  </si>
  <si>
    <t>PM108S</t>
  </si>
  <si>
    <t>Aerospace Low Input Current Operational Amplifier</t>
  </si>
  <si>
    <t>5962R9863703VGA</t>
  </si>
  <si>
    <t>PM108S_HDR</t>
  </si>
  <si>
    <t>https://landandmaritimeapps.dla.mil/Downloads/MilSpec/Smd/98637.pdf</t>
  </si>
  <si>
    <t>5962R9863703VHA</t>
  </si>
  <si>
    <t>JM38510/10104SGA</t>
  </si>
  <si>
    <t>PM1080000C</t>
  </si>
  <si>
    <t>PM108R000C</t>
  </si>
  <si>
    <t>PM111S</t>
  </si>
  <si>
    <t>Aerospace Precision Voltage Comparator</t>
  </si>
  <si>
    <t>JM38510/10304SGA</t>
  </si>
  <si>
    <t>Low Power Comparators</t>
  </si>
  <si>
    <t xml:space="preserve">pm111-hdr.pdf </t>
  </si>
  <si>
    <t>JM38510/10304SPA</t>
  </si>
  <si>
    <t>PM139S</t>
  </si>
  <si>
    <t>Aerospace Quad Low-Power Voltage Comparator</t>
  </si>
  <si>
    <t>5962L8773903VDA</t>
  </si>
  <si>
    <t>PM139S_HDR_.pdf</t>
  </si>
  <si>
    <t>https://landandmaritimeapps.dla.mil/Downloads/MilSpec/Smd/87739.pdf</t>
  </si>
  <si>
    <t>5962R8773901V2A</t>
  </si>
  <si>
    <t>PM139S_LDR_.pdf</t>
  </si>
  <si>
    <t>5962R8773901VCA</t>
  </si>
  <si>
    <t>5962R8773901VDA</t>
  </si>
  <si>
    <t>PM1390000C</t>
  </si>
  <si>
    <t>PM139R000C</t>
  </si>
  <si>
    <t>PM155S</t>
  </si>
  <si>
    <t>Aerospace Monolithic JFET Input Operational Amplifier</t>
  </si>
  <si>
    <t>5962R9863601VGA</t>
  </si>
  <si>
    <t>PM155S_HDR_.pdf</t>
  </si>
  <si>
    <t>https://landandmaritimeapps.dla.mil/Downloads/MilSpec/Smd/98636.pdf</t>
  </si>
  <si>
    <t>PM156S</t>
  </si>
  <si>
    <t>5962R9863602VGA</t>
  </si>
  <si>
    <t>PM156S_HDR_.pdf</t>
  </si>
  <si>
    <t>JM38510/11402BPA</t>
  </si>
  <si>
    <t>JM38510/11405BGA</t>
  </si>
  <si>
    <t>JM38510/11405BPA</t>
  </si>
  <si>
    <t>REF01S</t>
  </si>
  <si>
    <t>Aerospace +10V Precision Voltage Reference</t>
  </si>
  <si>
    <t>5962L8958105VHA</t>
  </si>
  <si>
    <t>REF01S_LDR</t>
  </si>
  <si>
    <t>https://landandmaritimeapps.dla.mil/Downloads/MilSpec/Smd/89581.pdf</t>
  </si>
  <si>
    <t>5962R8958101V2A</t>
  </si>
  <si>
    <t>REF01S_HDR</t>
  </si>
  <si>
    <t>5962R8958101VGA</t>
  </si>
  <si>
    <t>5962R8958101VHA</t>
  </si>
  <si>
    <t>REF01-000C</t>
  </si>
  <si>
    <t>REF02S</t>
  </si>
  <si>
    <t>Aerospace +5V Precision Voltage Ref./Temp. Transducer</t>
  </si>
  <si>
    <t>5962L8551405VHA</t>
  </si>
  <si>
    <t>REF02S_LDR</t>
  </si>
  <si>
    <t>https://landandmaritimeapps.dla.mil/Downloads/MilSpec/Smd/85514.pdf</t>
  </si>
  <si>
    <t>5962R8551401V2A</t>
  </si>
  <si>
    <t>REF02S_HDR</t>
  </si>
  <si>
    <t>5962R8551401VGA</t>
  </si>
  <si>
    <t>5962R8551401VHA</t>
  </si>
  <si>
    <t>f-10-1</t>
  </si>
  <si>
    <t>5962R8551401VPA</t>
  </si>
  <si>
    <t>REF020000C</t>
  </si>
  <si>
    <t>REF05S</t>
  </si>
  <si>
    <t>Aerospace +5V Precision Voltage Reference</t>
  </si>
  <si>
    <t>5962L0051602VHA</t>
  </si>
  <si>
    <t>REF05S_LDR_.pdf</t>
  </si>
  <si>
    <t>https://landandmaritimeapps.dla.mil/Downloads/MilSpec/Smd/00516.pdf</t>
  </si>
  <si>
    <t>5962R0051601VGA</t>
  </si>
  <si>
    <t xml:space="preserve">ref05-hdr.pdf </t>
  </si>
  <si>
    <t>5962R0051601VHA</t>
  </si>
  <si>
    <t>5962R0051601VPA</t>
  </si>
  <si>
    <t>REF10S</t>
  </si>
  <si>
    <t>5962R8947901VGA</t>
  </si>
  <si>
    <t>REF10S_HDR_.pdf</t>
  </si>
  <si>
    <t>https://landandmaritimeapps.dla.mil/Downloads/MilSpec/Smd/89479.pdf</t>
  </si>
  <si>
    <t>5962R8947901VHA</t>
  </si>
  <si>
    <t>REF43S</t>
  </si>
  <si>
    <t>Aerospace +2.5V Low-Power Precision Voltage Reference</t>
  </si>
  <si>
    <t>5962L9060304VHA</t>
  </si>
  <si>
    <t>REF43S_LDR</t>
  </si>
  <si>
    <t>ref43s_dd_2e12.pdf</t>
  </si>
  <si>
    <t>https://landandmaritimeapps.dla.mil/Downloads/MilSpec/Smd/90603.pdf</t>
  </si>
  <si>
    <t>5962R9060302VPA</t>
  </si>
  <si>
    <t>REF43S_HDR</t>
  </si>
  <si>
    <t>5962R9060303VHA</t>
  </si>
  <si>
    <t>REF430803L</t>
  </si>
  <si>
    <t>REF430803RC</t>
  </si>
  <si>
    <t>REF43AL-EMX</t>
  </si>
  <si>
    <t>REF43R803RC</t>
  </si>
  <si>
    <t>RH1009</t>
  </si>
  <si>
    <t>Radiation Hardened 2.5V Reference</t>
  </si>
  <si>
    <t>5962R8961002V9A</t>
  </si>
  <si>
    <t>MIL-PRF-38535 Class V / -38534 Class K</t>
  </si>
  <si>
    <t>RH1009MH.pdf</t>
  </si>
  <si>
    <t>DD_RH1009MW.pdf</t>
  </si>
  <si>
    <t>https://landandmaritimeapps.dla.mil/Downloads/MilSpec/Smd/89610.pdf</t>
  </si>
  <si>
    <t>5962R8961002VHA</t>
  </si>
  <si>
    <t>10 Lead FlatPack (Glass Sealed Hermetic)</t>
  </si>
  <si>
    <t>05-08-1130</t>
  </si>
  <si>
    <t>5962R8961002VXC</t>
  </si>
  <si>
    <t>3-Lead TO-46 Metal Can</t>
  </si>
  <si>
    <t>05-08-1340</t>
  </si>
  <si>
    <t>RH1009DICE</t>
  </si>
  <si>
    <t>RH1009MH</t>
  </si>
  <si>
    <t>RH1009MH-EMX</t>
  </si>
  <si>
    <t>RH1009MW</t>
  </si>
  <si>
    <t>RH1011</t>
  </si>
  <si>
    <t>Voltage Comparator</t>
  </si>
  <si>
    <t>RH1011DICE</t>
  </si>
  <si>
    <t xml:space="preserve">rh1011w-hdr.pdf </t>
  </si>
  <si>
    <t>SEE_Test__RH1011.pdf</t>
  </si>
  <si>
    <t>RH1011H</t>
  </si>
  <si>
    <t>8-Lead TO-5 Metal Can (.200 Inch PCD)</t>
  </si>
  <si>
    <t>05-08-1320</t>
  </si>
  <si>
    <t>RH1011W</t>
  </si>
  <si>
    <t>RH1011W-EMX</t>
  </si>
  <si>
    <t>RH1013M</t>
  </si>
  <si>
    <t>Dual Precision Operational Amplifier</t>
  </si>
  <si>
    <t>5962R8876003V9A</t>
  </si>
  <si>
    <t>Low Power Op Amps (≤ 1mA/amp)</t>
  </si>
  <si>
    <t>RH1013MJ8.pdf</t>
  </si>
  <si>
    <t>https://landandmaritimeapps.dla.mil/Downloads/MilSpec/Smd/88760.pdf</t>
  </si>
  <si>
    <t>5962R8876003VHA</t>
  </si>
  <si>
    <t>RH1013DICE</t>
  </si>
  <si>
    <t>200K_RH1013MJ8.pdf</t>
  </si>
  <si>
    <t>RH1013MH</t>
  </si>
  <si>
    <t>RH1013MW</t>
  </si>
  <si>
    <t>RH1013MW-EMX</t>
  </si>
  <si>
    <t>RH1014M</t>
  </si>
  <si>
    <t>Quad Precision Operational Amplifier</t>
  </si>
  <si>
    <t>5962R8967703VDA</t>
  </si>
  <si>
    <t>RH1014MW.pdf</t>
  </si>
  <si>
    <t>14-Lead FlatPack (Glass Sealed Hermetic)</t>
  </si>
  <si>
    <t>05-08-1140</t>
  </si>
  <si>
    <t>https://landandmaritimeapps.dla.mil/Downloads/MilSpec/Smd/89677.pdf</t>
  </si>
  <si>
    <t>RH1014MW</t>
  </si>
  <si>
    <t>SEE_RH1016.pdf</t>
  </si>
  <si>
    <t>RH1014MW-EMX</t>
  </si>
  <si>
    <t>RH1016M</t>
  </si>
  <si>
    <t>UltraFast™ Precision 10ns Comparator</t>
  </si>
  <si>
    <t>RH1016MW</t>
  </si>
  <si>
    <t>RH1016MW.pdf</t>
  </si>
  <si>
    <t>RH101A</t>
  </si>
  <si>
    <t>Operational Amplifier</t>
  </si>
  <si>
    <t>RH101ADICE</t>
  </si>
  <si>
    <t>General Purpose Op Amps</t>
  </si>
  <si>
    <t>RH101AW.pdf</t>
  </si>
  <si>
    <t>RH101AW</t>
  </si>
  <si>
    <t>RH1021-10</t>
  </si>
  <si>
    <t>Precision 10V Reference</t>
  </si>
  <si>
    <t>5962R8860001VGA</t>
  </si>
  <si>
    <t>200K_RH1021CMH-10.pdf</t>
  </si>
  <si>
    <t>DD_RH1021CMW-5.pdf</t>
  </si>
  <si>
    <t>https://landandmaritimeapps.dla.mil/Downloads/MilSpec/Smd/88600.pdf</t>
  </si>
  <si>
    <t>5962R8860002V9A</t>
  </si>
  <si>
    <t>5962R8860002VGA</t>
  </si>
  <si>
    <t>5962R8860002VHA</t>
  </si>
  <si>
    <t>RH1021BMH-10</t>
  </si>
  <si>
    <t>RH1021C-10DICE</t>
  </si>
  <si>
    <t>RH1021CMH-10</t>
  </si>
  <si>
    <t>RH1021CMW-10</t>
  </si>
  <si>
    <t>RH1021CMW-10-EMX</t>
  </si>
  <si>
    <t>RH1021-5</t>
  </si>
  <si>
    <t>Precision 5V Reference</t>
  </si>
  <si>
    <t>5962R8876201VGA</t>
  </si>
  <si>
    <t>RH1021CMH-5</t>
  </si>
  <si>
    <t>https://landandmaritimeapps.dla.mil/Downloads/MilSpec/Smd/88762.pdf</t>
  </si>
  <si>
    <t>5962R8876202V9A</t>
  </si>
  <si>
    <t>RH1056AMW.pdf</t>
  </si>
  <si>
    <t>5962R8876202VGA</t>
  </si>
  <si>
    <t>5962R8876202VHA</t>
  </si>
  <si>
    <t>RH1021BMH-5</t>
  </si>
  <si>
    <t>HDR_RH1021CMH-5.pdf</t>
  </si>
  <si>
    <t>RH1021C-5DICE</t>
  </si>
  <si>
    <t>RH1021CMW-5.pdf</t>
  </si>
  <si>
    <t>RH1021CMW-5</t>
  </si>
  <si>
    <t>RH1021CMW-5-EMX</t>
  </si>
  <si>
    <t>RH1021-7</t>
  </si>
  <si>
    <t>Precision 7V Reference</t>
  </si>
  <si>
    <t>RH1021BMH-7</t>
  </si>
  <si>
    <t xml:space="preserve">rh1021bmh-7-hdr.pdf </t>
  </si>
  <si>
    <t>RH1021BMH-7-EMX</t>
  </si>
  <si>
    <t>RH1028M</t>
  </si>
  <si>
    <t>Ultralow Noise Precision High Speed Op Amps</t>
  </si>
  <si>
    <t>RH1028MW</t>
  </si>
  <si>
    <t>RH1028M.pdf</t>
  </si>
  <si>
    <t>RH1028MW-EMX</t>
  </si>
  <si>
    <t>https://www.analog.com/media/en/technical-documentation/data-sheets/rh10281128fe.pdf</t>
  </si>
  <si>
    <t>RH1034-1.2</t>
  </si>
  <si>
    <t>Micropower Dual Reference</t>
  </si>
  <si>
    <t>RH1034MH-1.2</t>
  </si>
  <si>
    <t>RLAT Report_RH1034-1.2_Fab Lot WD003263.1</t>
  </si>
  <si>
    <t>https://www.analog.com/media/en/technical-documentation/data-sheets/rh1034-1-2.pdf</t>
  </si>
  <si>
    <t>RH1034MH-1.2-EMX</t>
  </si>
  <si>
    <t>RH1034MW-1.2</t>
  </si>
  <si>
    <t>RH1056A</t>
  </si>
  <si>
    <t>Precision, High Speed, JFET Input Operational Amplifier</t>
  </si>
  <si>
    <t>RH1056AMH</t>
  </si>
  <si>
    <t>RH1056AMW</t>
  </si>
  <si>
    <t>RH1056AMW-EMX</t>
  </si>
  <si>
    <t>RH1078M</t>
  </si>
  <si>
    <t>Micropower, Dual, Single Supply Precision Op Amp</t>
  </si>
  <si>
    <t>RH1078MDICE</t>
  </si>
  <si>
    <t>RH1078MW.pdf</t>
  </si>
  <si>
    <t>RH1078MH</t>
  </si>
  <si>
    <t>RH1078MW</t>
  </si>
  <si>
    <t>RH1078MW-EMX</t>
  </si>
  <si>
    <t>RH1086M</t>
  </si>
  <si>
    <t>0.5A Low Dropout Positive Adjustable Regulator</t>
  </si>
  <si>
    <t>5962R8998102VYA</t>
  </si>
  <si>
    <t>Positive Linear Regulators (LDO)</t>
  </si>
  <si>
    <t xml:space="preserve"> -55°C to 150°C</t>
  </si>
  <si>
    <t>Report_RH1086MK</t>
  </si>
  <si>
    <t>RH1086MK</t>
  </si>
  <si>
    <t>3-Lead TO-39 Metal Can</t>
  </si>
  <si>
    <t>05-08-1330</t>
  </si>
  <si>
    <t>https://landandmaritimeapps.dla.mil/Downloads/MilSpec/Smd/89981.pdf</t>
  </si>
  <si>
    <t>RH1086BKKDICE</t>
  </si>
  <si>
    <t>200K_RH1086MK.pdf</t>
  </si>
  <si>
    <t>RH1086MH</t>
  </si>
  <si>
    <t>RH108A</t>
  </si>
  <si>
    <t>RH108AH</t>
  </si>
  <si>
    <t>RLAT Report_RH108AH</t>
  </si>
  <si>
    <t>RH108AH-EMX</t>
  </si>
  <si>
    <t>RH108AW</t>
  </si>
  <si>
    <t>RH1128M</t>
  </si>
  <si>
    <t>Radiation Hardened Ultralow Noise Precision High Speed Op Amps</t>
  </si>
  <si>
    <t>RH1128MW</t>
  </si>
  <si>
    <t xml:space="preserve">rh1128mw-hdr.pdf </t>
  </si>
  <si>
    <t>RH117</t>
  </si>
  <si>
    <t>Positive Adjustable Regulator</t>
  </si>
  <si>
    <t>RH117H</t>
  </si>
  <si>
    <t>RH117H.pdf</t>
  </si>
  <si>
    <t>RH117K</t>
  </si>
  <si>
    <t>RH117KDICE</t>
  </si>
  <si>
    <t>DD_RH117K.pdf</t>
  </si>
  <si>
    <t>RH118</t>
  </si>
  <si>
    <t>Precision, High Speed Operational Amplifier</t>
  </si>
  <si>
    <t>RH118W</t>
  </si>
  <si>
    <t>HDR_RH118W.pdf</t>
  </si>
  <si>
    <t>RH1185</t>
  </si>
  <si>
    <t>Negative Regulator with Adjustable Current Limit</t>
  </si>
  <si>
    <t>RH1185AMKDICE</t>
  </si>
  <si>
    <t>Negative Linear Regulators (LDO)</t>
  </si>
  <si>
    <t xml:space="preserve">rh1185amk-hdr.pdf </t>
  </si>
  <si>
    <t>https://www.analog.com/media/en/technical-documentation/data-sheets/rh1185amk.pdf</t>
  </si>
  <si>
    <t>RH119</t>
  </si>
  <si>
    <t>High Performance Dual Comparator</t>
  </si>
  <si>
    <t>RH119DICE</t>
  </si>
  <si>
    <t>RH119W.pdf</t>
  </si>
  <si>
    <t>RH119W</t>
  </si>
  <si>
    <t>RH119W-EMX</t>
  </si>
  <si>
    <t>RH129</t>
  </si>
  <si>
    <t>6.9V Precision Reference</t>
  </si>
  <si>
    <t>RH129AH</t>
  </si>
  <si>
    <t>2-Lead and 3-Lead TO-46 Metal Can</t>
  </si>
  <si>
    <t>RH137</t>
  </si>
  <si>
    <t>Negative Adjustable Regulator</t>
  </si>
  <si>
    <t>RH137H</t>
  </si>
  <si>
    <t>RH137H.pdf</t>
  </si>
  <si>
    <t>DD_RH137K.pdf</t>
  </si>
  <si>
    <t>RH137HDICE</t>
  </si>
  <si>
    <t>RH137KDICE</t>
  </si>
  <si>
    <t>RH1498M</t>
  </si>
  <si>
    <t>10MHz, 6V/µs, Dual Rail-to-Rail Input and Output Precision C-Load Op Amp</t>
  </si>
  <si>
    <t>5962R1325001V9A</t>
  </si>
  <si>
    <t>HDR_RH1498MW.pdf</t>
  </si>
  <si>
    <t>SEE_RH1498.pdf</t>
  </si>
  <si>
    <t>DD_RH1498MW.pdf</t>
  </si>
  <si>
    <t>https://landandmaritimeapps.dla.mil/Downloads/MilSpec/Smd/13250.pdf</t>
  </si>
  <si>
    <t>5962R1325001VHA</t>
  </si>
  <si>
    <t>RH1498MW.pdf</t>
  </si>
  <si>
    <t>RH1498DICE</t>
  </si>
  <si>
    <t>RH1498MW</t>
  </si>
  <si>
    <t>RH1498MW-EMX</t>
  </si>
  <si>
    <t>RH1499M</t>
  </si>
  <si>
    <t>10MHz, 6V/µs, Quad Rail-to-Rail Input and Output Precision C-Load Op Amp</t>
  </si>
  <si>
    <t>5962R1325101VDA</t>
  </si>
  <si>
    <t>200K_RH1499MW.pdf</t>
  </si>
  <si>
    <t>Heavy-Ion Test RH1498MW</t>
  </si>
  <si>
    <t>https://landandmaritimeapps.dla.mil/Downloads/MilSpec/Smd/13251.pdf</t>
  </si>
  <si>
    <t>RH1499MW</t>
  </si>
  <si>
    <t>RH1499MW-EMX</t>
  </si>
  <si>
    <t>RH1573K</t>
  </si>
  <si>
    <t>Radiation Hardened Low Dropout PNP Regulator Driver</t>
  </si>
  <si>
    <t>RH1573KDICE</t>
  </si>
  <si>
    <t>Discrete Pass Element Linear Regulators (LDO)</t>
  </si>
  <si>
    <t>RLAT Report_RH1573MJ8</t>
  </si>
  <si>
    <t>https://www.analog.com/media/en/technical-documentation/data-sheets/RH1573K%20DICE.pdf</t>
  </si>
  <si>
    <t>RH1814M</t>
  </si>
  <si>
    <t>Quad 3mA, 100MHz, 750V/µs Operational Amplifier</t>
  </si>
  <si>
    <t>RH1814DICE</t>
  </si>
  <si>
    <t>RH1814MW.pdf</t>
  </si>
  <si>
    <t>RH1814MW</t>
  </si>
  <si>
    <t>RH1814MW-EMX</t>
  </si>
  <si>
    <t>https://www.analog.com/media/en/technical-documentation/data-sheets/rh1814m.pdf</t>
  </si>
  <si>
    <t>RH1959</t>
  </si>
  <si>
    <t>Radiation Hardened 4.5A, 500kHz Step-Down Switching Regulator</t>
  </si>
  <si>
    <t>RH1959MILDICE</t>
  </si>
  <si>
    <t>Internal Power Switch Buck Regulators</t>
  </si>
  <si>
    <t>n/a - Not Space Qualified</t>
  </si>
  <si>
    <t>RH1959_TID_HDR_Report</t>
  </si>
  <si>
    <t>DD_RH1959.pdf</t>
  </si>
  <si>
    <t xml:space="preserve">https://www.analog.com/media/en/technical-documentation/data-sheets/RH1959M_DICE_DWF.pdf </t>
  </si>
  <si>
    <t>RH1959MW</t>
  </si>
  <si>
    <t>16-Lead Bottom Brazed Flatpack</t>
  </si>
  <si>
    <t>f-16-2</t>
  </si>
  <si>
    <t xml:space="preserve">https://www.analog.com/media/en/technical-documentation/data-sheets/rh1959.pdf </t>
  </si>
  <si>
    <t>RH1959MW-EMX</t>
  </si>
  <si>
    <t>RH1965</t>
  </si>
  <si>
    <t>Radiation Hardened 0.9A, Low Noise, Low Dropout Linear Regulator with Shutdown</t>
  </si>
  <si>
    <t>RH1965MKDICE</t>
  </si>
  <si>
    <t>HDR_RH1965MK.pdf</t>
  </si>
  <si>
    <t>see-test-rh1965.pdf</t>
  </si>
  <si>
    <t>RH27C</t>
  </si>
  <si>
    <t>Precision Operational Amplifier</t>
  </si>
  <si>
    <t>RH27AEW</t>
  </si>
  <si>
    <t>RH27CW.pdf</t>
  </si>
  <si>
    <t>RH27CDICE</t>
  </si>
  <si>
    <t>RH27CW</t>
  </si>
  <si>
    <t>RH27CW-EMX</t>
  </si>
  <si>
    <t>RH27EW</t>
  </si>
  <si>
    <t>RH3080MK</t>
  </si>
  <si>
    <t>Radiation Hardened Adjustable 0.9A Single Resistor Low Dropout Regulator</t>
  </si>
  <si>
    <t>RH3080MKDICE</t>
  </si>
  <si>
    <t>rh3080.pdf</t>
  </si>
  <si>
    <t>SEE_Test_RH3080.pdf</t>
  </si>
  <si>
    <t>DD_RH3080MK.pdf</t>
  </si>
  <si>
    <t>https://www.analog.com/media/en/technical-documentation/data-sheets/rh3080mk.pdf</t>
  </si>
  <si>
    <t>RH3083MK</t>
  </si>
  <si>
    <t>Adjustable 2.8A Single Resistor Low Dropout Regulator</t>
  </si>
  <si>
    <t>RH3083MILDICE</t>
  </si>
  <si>
    <t>HDR_RH3083MK.pdf</t>
  </si>
  <si>
    <t>RH3083_SEE_Test.pdf</t>
  </si>
  <si>
    <t>https://www.analog.com/media/en/technical-documentation/controlled-drawings/05-08-5744.pdf</t>
  </si>
  <si>
    <t>RH3083MKDICE</t>
  </si>
  <si>
    <t>https://www.analog.com/media/en/technical-documentation/data-sheets/rh3083mk.pdf</t>
  </si>
  <si>
    <t>RH3083MW</t>
  </si>
  <si>
    <t>16-Lead Flatpack Thermally Enhanced BBFP</t>
  </si>
  <si>
    <t>https://www.analog.com/media/en/technical-documentation/data-sheets/rh3083mw.pdf</t>
  </si>
  <si>
    <t>RH3083MW-EMX</t>
  </si>
  <si>
    <t>RH3845MK</t>
  </si>
  <si>
    <t>Radiation Hardened High Voltage Synchronous Current Mode Step-Down Controller with Adjustable Operating Frequency</t>
  </si>
  <si>
    <t>RH3845MKDICE</t>
  </si>
  <si>
    <t>High Input Voltage Buck Regulators</t>
  </si>
  <si>
    <t>HDR_RH3845.pdf</t>
  </si>
  <si>
    <t>SEE_Test__RH3845.pdf</t>
  </si>
  <si>
    <t>Performed at LTC pre-acquisition, report was not carried over.</t>
  </si>
  <si>
    <t>RH3845MW-1</t>
  </si>
  <si>
    <t>RH3845MW-1-EMX</t>
  </si>
  <si>
    <t>RH3845MW-2</t>
  </si>
  <si>
    <t>RH3845MW-2-EMX</t>
  </si>
  <si>
    <t>RHK3845MKDICE</t>
  </si>
  <si>
    <t>RH5596S</t>
  </si>
  <si>
    <t>100MHz to 40GHz Linear-in-dB RMS Power Detector with 35dB Dynamic Range</t>
  </si>
  <si>
    <t>RH5596DICE</t>
  </si>
  <si>
    <t>Logarithmic RMS Detectors</t>
  </si>
  <si>
    <t>RH5596S_HDR</t>
  </si>
  <si>
    <t>RH5596S_SEE</t>
  </si>
  <si>
    <t>https://www.analog.com/media/en/technical-documentation/data-sheets/rh5596s.pdf</t>
  </si>
  <si>
    <t>RH5596HDC#PBF-CSH</t>
  </si>
  <si>
    <t>8-Lead Plastic DFN, Flip Chip</t>
  </si>
  <si>
    <t>05-08-1957</t>
  </si>
  <si>
    <t>RH5596HDC#PBF-CSL</t>
  </si>
  <si>
    <t>RH6016S</t>
  </si>
  <si>
    <t>Aerospace, Dual 3.2MHz, 0.8V/μs Low Power, Over-The-Top Precision Op Amp Channel</t>
  </si>
  <si>
    <t>RH6016MW</t>
  </si>
  <si>
    <t xml:space="preserve">rh6016s-hdr.pdf </t>
  </si>
  <si>
    <t>RH6016MW-EMX</t>
  </si>
  <si>
    <t>RH6105</t>
  </si>
  <si>
    <t>Radiation Hardened Micropower Precision, Rail-to-Rail Input Current Sense Amplifier</t>
  </si>
  <si>
    <t>RH6105MILDICE</t>
  </si>
  <si>
    <t>hdr_rh6105mw.pdf</t>
  </si>
  <si>
    <t>RH6105 Heavy Ion Test .pdf</t>
  </si>
  <si>
    <t>RH6105MW</t>
  </si>
  <si>
    <t>HDR RH6105MW</t>
  </si>
  <si>
    <t>RH6105MW-EMX</t>
  </si>
  <si>
    <t>RH6200M</t>
  </si>
  <si>
    <t>Low Noise, High Speed Rail-to-Rail Op Amp</t>
  </si>
  <si>
    <t>RH6200MW</t>
  </si>
  <si>
    <t>Rail-to-Rail Op Amps</t>
  </si>
  <si>
    <t>RH6200MW.pdf</t>
  </si>
  <si>
    <t>RH6200MW-EMX</t>
  </si>
  <si>
    <t>RHP50000</t>
  </si>
  <si>
    <t>5.5V, 12.5A Synchronous Step-Down Silent Switcher 2 for Commercial Space</t>
  </si>
  <si>
    <t>RHP50000IVCSL#TRPBF</t>
  </si>
  <si>
    <t>18-lead (3mm × 3mm) LQFN</t>
  </si>
  <si>
    <t>05-08-1548</t>
  </si>
  <si>
    <t>https://www.analog.com/media/en/technical-documentation/data-sheets/rhp50000.pdf</t>
  </si>
  <si>
    <t>SW201S</t>
  </si>
  <si>
    <t>Aerospace Quad SPST JFET Analog Switch</t>
  </si>
  <si>
    <t>SW2010803Q</t>
  </si>
  <si>
    <t>ADRF5730BCCZ-CSL</t>
  </si>
  <si>
    <t>ADRF5730BCCZ-CSLR7</t>
  </si>
  <si>
    <t>0.5 dB LSB, 6-Bit, Silicon Digital Attenuator, 100 MHz to 40 GHz</t>
  </si>
  <si>
    <t>ADRF5730</t>
  </si>
  <si>
    <t>CC-24-5</t>
  </si>
  <si>
    <t>https://www.analog.com/media/en/technical-documentation/data-sheets/adrf5730-csl.pdf</t>
  </si>
  <si>
    <t>ADRF5730-CSL_HDR</t>
  </si>
  <si>
    <t>Finalizing report, will post to analog.com/adrf5730 when complete</t>
  </si>
  <si>
    <t xml:space="preserve">ADI POD No.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</si>
</sst>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Aptos Narrow"/>
      <family val="2"/>
    </font>
    <font>
      <sz val="11"/>
      <color theme="1"/>
      <name val="Aptos Narrow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1"/>
      <name val="Aptos Narrow"/>
      <family val="2"/>
    </font>
    <font>
      <sz val="36"/>
      <color theme="0"/>
      <name val="Aptos Narrow"/>
      <family val="2"/>
    </font>
    <font>
      <b/>
      <sz val="11"/>
      <color theme="1"/>
      <name val="Aptos Narrow"/>
      <family val="2"/>
    </font>
    <font>
      <sz val="36"/>
      <color theme="1"/>
      <name val="Aptos Narrow"/>
      <family val="2"/>
    </font>
    <font>
      <b/>
      <sz val="11"/>
      <color theme="0"/>
      <name val="Aptos Narrow"/>
      <family val="2"/>
    </font>
    <font>
      <u/>
      <sz val="11"/>
      <color theme="10"/>
      <name val="Aptos Narrow"/>
      <family val="2"/>
    </font>
    <font>
      <i/>
      <sz val="11"/>
      <color rgb="FF7F7F7F"/>
      <name val="Aptos Narrow"/>
      <family val="2"/>
    </font>
    <font>
      <sz val="11"/>
      <color rgb="FF000000"/>
      <name val="Aptos Narrow"/>
      <family val="2"/>
    </font>
    <font>
      <sz val="11"/>
      <name val="Aptos Narrow"/>
      <family val="2"/>
    </font>
    <font>
      <sz val="11"/>
      <color theme="0"/>
      <name val="Aptos Narrow"/>
      <family val="2"/>
    </font>
    <font>
      <vertAlign val="superscript"/>
      <sz val="11"/>
      <color theme="1"/>
      <name val="Aptos Narrow"/>
      <family val="2"/>
    </font>
    <font>
      <b/>
      <vertAlign val="superscript"/>
      <sz val="11"/>
      <color theme="0"/>
      <name val="Aptos Narrow"/>
      <family val="2"/>
    </font>
    <font>
      <i/>
      <sz val="11"/>
      <color theme="1"/>
      <name val="Aptos Narrow"/>
      <family val="2"/>
    </font>
  </fonts>
  <fills count="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8"/>
        <bgColor theme="8"/>
      </patternFill>
    </fill>
    <fill>
      <patternFill patternType="solid">
        <fgColor rgb="FF7030A0"/>
        <bgColor theme="8"/>
      </patternFill>
    </fill>
    <fill>
      <patternFill patternType="solid">
        <fgColor rgb="FF0070C0"/>
        <bgColor indexed="64"/>
      </patternFill>
    </fill>
  </fills>
  <borders count="11">
    <border>
      <left/>
      <right/>
      <top/>
      <bottom/>
      <diagonal/>
    </border>
    <border>
      <left/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 style="thin">
        <color theme="0"/>
      </right>
      <top/>
      <bottom style="thick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/>
      <right/>
      <top style="thin">
        <color rgb="FFFFFFFF"/>
      </top>
      <bottom style="thin">
        <color rgb="FFFFFFFF"/>
      </bottom>
      <diagonal/>
    </border>
  </borders>
  <cellStyleXfs count="5">
    <xf numFmtId="0" fontId="0" fillId="0" borderId="0"/>
    <xf numFmtId="0" fontId="3" fillId="2" borderId="0" applyNumberFormat="0" applyBorder="0" applyAlignment="0" applyProtection="0"/>
    <xf numFmtId="0" fontId="4" fillId="3" borderId="0" applyNumberFormat="0" applyBorder="0" applyAlignment="0" applyProtection="0"/>
    <xf numFmtId="0" fontId="5" fillId="0" borderId="0" applyNumberFormat="0" applyFill="0" applyBorder="0" applyAlignment="0" applyProtection="0"/>
    <xf numFmtId="0" fontId="7" fillId="0" borderId="0" applyNumberFormat="0" applyFill="0" applyBorder="0" applyAlignment="0" applyProtection="0"/>
  </cellStyleXfs>
  <cellXfs count="104">
    <xf numFmtId="0" fontId="0" fillId="0" borderId="0" xfId="0"/>
    <xf numFmtId="0" fontId="8" fillId="0" borderId="0" xfId="0" applyFont="1" applyAlignment="1">
      <alignment horizontal="left"/>
    </xf>
    <xf numFmtId="0" fontId="10" fillId="0" borderId="0" xfId="0" applyFont="1" applyAlignment="1">
      <alignment horizontal="right" vertical="center"/>
    </xf>
    <xf numFmtId="0" fontId="11" fillId="0" borderId="0" xfId="0" applyFont="1" applyAlignment="1">
      <alignment vertical="center"/>
    </xf>
    <xf numFmtId="0" fontId="12" fillId="4" borderId="1" xfId="0" applyFont="1" applyFill="1" applyBorder="1" applyAlignment="1">
      <alignment horizontal="left" vertical="center"/>
    </xf>
    <xf numFmtId="0" fontId="12" fillId="4" borderId="2" xfId="0" applyFont="1" applyFill="1" applyBorder="1" applyAlignment="1">
      <alignment horizontal="left" vertical="center"/>
    </xf>
    <xf numFmtId="0" fontId="12" fillId="4" borderId="2" xfId="0" applyFont="1" applyFill="1" applyBorder="1" applyAlignment="1">
      <alignment horizontal="center" vertical="center" wrapText="1"/>
    </xf>
    <xf numFmtId="0" fontId="12" fillId="4" borderId="2" xfId="0" applyFont="1" applyFill="1" applyBorder="1" applyAlignment="1">
      <alignment horizontal="center" vertical="center"/>
    </xf>
    <xf numFmtId="0" fontId="13" fillId="0" borderId="4" xfId="3" applyFont="1" applyFill="1" applyBorder="1" applyAlignment="1">
      <alignment horizontal="center" vertical="center"/>
    </xf>
    <xf numFmtId="0" fontId="13" fillId="0" borderId="0" xfId="3" applyFont="1" applyFill="1" applyBorder="1"/>
    <xf numFmtId="0" fontId="14" fillId="0" borderId="4" xfId="4" applyFont="1" applyFill="1" applyBorder="1" applyAlignment="1">
      <alignment horizontal="left"/>
    </xf>
    <xf numFmtId="0" fontId="14" fillId="0" borderId="4" xfId="4" applyFont="1" applyFill="1" applyBorder="1" applyAlignment="1">
      <alignment horizontal="center"/>
    </xf>
    <xf numFmtId="0" fontId="13" fillId="0" borderId="4" xfId="3" applyFont="1" applyFill="1" applyBorder="1" applyAlignment="1">
      <alignment horizontal="center" vertical="center" wrapText="1"/>
    </xf>
    <xf numFmtId="0" fontId="13" fillId="0" borderId="4" xfId="3" applyFont="1" applyFill="1" applyBorder="1" applyAlignment="1">
      <alignment horizontal="left" vertical="center"/>
    </xf>
    <xf numFmtId="0" fontId="13" fillId="0" borderId="4" xfId="3" applyFont="1" applyFill="1" applyBorder="1" applyAlignment="1">
      <alignment horizontal="center"/>
    </xf>
    <xf numFmtId="0" fontId="13" fillId="0" borderId="0" xfId="3" applyFont="1" applyFill="1" applyBorder="1" applyAlignment="1">
      <alignment horizontal="center"/>
    </xf>
    <xf numFmtId="0" fontId="14" fillId="0" borderId="0" xfId="4" applyFont="1" applyFill="1" applyBorder="1" applyAlignment="1">
      <alignment horizontal="center"/>
    </xf>
    <xf numFmtId="0" fontId="13" fillId="0" borderId="4" xfId="3" applyFont="1" applyFill="1" applyBorder="1" applyAlignment="1">
      <alignment horizontal="left"/>
    </xf>
    <xf numFmtId="0" fontId="8" fillId="0" borderId="0" xfId="0" applyFont="1" applyAlignment="1">
      <alignment horizontal="center"/>
    </xf>
    <xf numFmtId="0" fontId="13" fillId="0" borderId="0" xfId="3" applyFont="1" applyFill="1" applyBorder="1" applyAlignment="1">
      <alignment horizontal="left" vertical="center"/>
    </xf>
    <xf numFmtId="0" fontId="13" fillId="0" borderId="0" xfId="3" applyFont="1" applyFill="1" applyBorder="1" applyAlignment="1">
      <alignment horizontal="left"/>
    </xf>
    <xf numFmtId="0" fontId="13" fillId="0" borderId="0" xfId="3" applyFont="1" applyFill="1" applyAlignment="1">
      <alignment horizontal="left"/>
    </xf>
    <xf numFmtId="0" fontId="13" fillId="0" borderId="0" xfId="3" applyFont="1" applyFill="1" applyBorder="1" applyAlignment="1">
      <alignment horizontal="center" vertical="center"/>
    </xf>
    <xf numFmtId="0" fontId="15" fillId="0" borderId="4" xfId="2" applyFont="1" applyFill="1" applyBorder="1" applyAlignment="1">
      <alignment horizontal="left" vertical="center"/>
    </xf>
    <xf numFmtId="0" fontId="13" fillId="0" borderId="0" xfId="3" applyFont="1" applyFill="1"/>
    <xf numFmtId="0" fontId="15" fillId="0" borderId="4" xfId="3" applyFont="1" applyFill="1" applyBorder="1" applyAlignment="1">
      <alignment horizontal="center" vertical="center"/>
    </xf>
    <xf numFmtId="11" fontId="15" fillId="0" borderId="4" xfId="3" applyNumberFormat="1" applyFont="1" applyFill="1" applyBorder="1" applyAlignment="1">
      <alignment horizontal="center" vertical="center"/>
    </xf>
    <xf numFmtId="0" fontId="15" fillId="0" borderId="0" xfId="3" applyFont="1" applyFill="1" applyBorder="1" applyAlignment="1">
      <alignment horizontal="center" vertical="center"/>
    </xf>
    <xf numFmtId="11" fontId="15" fillId="0" borderId="0" xfId="3" applyNumberFormat="1" applyFont="1" applyFill="1" applyBorder="1" applyAlignment="1">
      <alignment horizontal="center" vertical="center"/>
    </xf>
    <xf numFmtId="0" fontId="15" fillId="0" borderId="0" xfId="2" applyFont="1" applyFill="1" applyBorder="1" applyAlignment="1">
      <alignment horizontal="left" vertical="center"/>
    </xf>
    <xf numFmtId="0" fontId="15" fillId="0" borderId="0" xfId="2" applyFont="1" applyFill="1" applyBorder="1" applyAlignment="1">
      <alignment horizontal="left"/>
    </xf>
    <xf numFmtId="0" fontId="16" fillId="0" borderId="0" xfId="1" applyFont="1" applyFill="1" applyBorder="1" applyAlignment="1">
      <alignment horizontal="left"/>
    </xf>
    <xf numFmtId="49" fontId="11" fillId="0" borderId="0" xfId="0" applyNumberFormat="1" applyFont="1" applyAlignment="1">
      <alignment horizontal="center" vertical="center"/>
    </xf>
    <xf numFmtId="49" fontId="12" fillId="4" borderId="2" xfId="0" applyNumberFormat="1" applyFont="1" applyFill="1" applyBorder="1" applyAlignment="1">
      <alignment horizontal="center" vertical="center" wrapText="1"/>
    </xf>
    <xf numFmtId="49" fontId="8" fillId="0" borderId="0" xfId="0" applyNumberFormat="1" applyFont="1" applyAlignment="1">
      <alignment horizontal="center"/>
    </xf>
    <xf numFmtId="0" fontId="12" fillId="5" borderId="2" xfId="0" applyFont="1" applyFill="1" applyBorder="1" applyAlignment="1">
      <alignment horizontal="left" vertical="center" wrapText="1"/>
    </xf>
    <xf numFmtId="0" fontId="12" fillId="4" borderId="1" xfId="0" applyFont="1" applyFill="1" applyBorder="1" applyAlignment="1">
      <alignment horizontal="left" vertical="center" wrapText="1"/>
    </xf>
    <xf numFmtId="0" fontId="12" fillId="4" borderId="2" xfId="0" applyFont="1" applyFill="1" applyBorder="1" applyAlignment="1">
      <alignment horizontal="left" vertical="center" wrapText="1"/>
    </xf>
    <xf numFmtId="0" fontId="14" fillId="0" borderId="0" xfId="4" applyFont="1" applyFill="1" applyBorder="1" applyAlignment="1">
      <alignment horizontal="left"/>
    </xf>
    <xf numFmtId="0" fontId="13" fillId="0" borderId="4" xfId="3" applyFont="1" applyFill="1" applyBorder="1"/>
    <xf numFmtId="0" fontId="15" fillId="0" borderId="4" xfId="2" applyFont="1" applyFill="1" applyBorder="1" applyAlignment="1">
      <alignment horizontal="left"/>
    </xf>
    <xf numFmtId="0" fontId="13" fillId="0" borderId="6" xfId="3" applyFont="1" applyFill="1" applyBorder="1" applyAlignment="1">
      <alignment horizontal="center"/>
    </xf>
    <xf numFmtId="0" fontId="5" fillId="0" borderId="0" xfId="3" applyFill="1" applyBorder="1"/>
    <xf numFmtId="0" fontId="15" fillId="0" borderId="4" xfId="0" applyFont="1" applyBorder="1"/>
    <xf numFmtId="49" fontId="15" fillId="0" borderId="4" xfId="0" quotePrefix="1" applyNumberFormat="1" applyFont="1" applyBorder="1" applyAlignment="1">
      <alignment horizontal="center"/>
    </xf>
    <xf numFmtId="0" fontId="16" fillId="0" borderId="0" xfId="0" applyFont="1" applyAlignment="1">
      <alignment horizontal="left"/>
    </xf>
    <xf numFmtId="0" fontId="13" fillId="0" borderId="4" xfId="3" applyFont="1" applyBorder="1" applyAlignment="1">
      <alignment horizontal="center"/>
    </xf>
    <xf numFmtId="0" fontId="13" fillId="0" borderId="4" xfId="3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/>
    <xf numFmtId="0" fontId="13" fillId="0" borderId="4" xfId="3" applyFont="1" applyBorder="1" applyAlignment="1">
      <alignment horizontal="left"/>
    </xf>
    <xf numFmtId="49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left" vertical="center"/>
    </xf>
    <xf numFmtId="49" fontId="1" fillId="0" borderId="4" xfId="0" applyNumberFormat="1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1" fillId="0" borderId="4" xfId="0" applyFont="1" applyBorder="1" applyAlignment="1">
      <alignment horizontal="left" vertical="center"/>
    </xf>
    <xf numFmtId="0" fontId="1" fillId="0" borderId="4" xfId="0" applyFont="1" applyBorder="1"/>
    <xf numFmtId="0" fontId="1" fillId="0" borderId="4" xfId="0" applyFont="1" applyBorder="1" applyAlignment="1">
      <alignment horizontal="left"/>
    </xf>
    <xf numFmtId="0" fontId="1" fillId="0" borderId="6" xfId="0" applyFont="1" applyBorder="1" applyAlignment="1">
      <alignment horizontal="center"/>
    </xf>
    <xf numFmtId="49" fontId="1" fillId="0" borderId="4" xfId="0" applyNumberFormat="1" applyFont="1" applyBorder="1" applyAlignment="1">
      <alignment horizontal="center"/>
    </xf>
    <xf numFmtId="49" fontId="1" fillId="0" borderId="0" xfId="0" applyNumberFormat="1" applyFont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13" fillId="0" borderId="0" xfId="3" applyFont="1" applyBorder="1" applyAlignment="1">
      <alignment horizontal="left"/>
    </xf>
    <xf numFmtId="0" fontId="13" fillId="0" borderId="0" xfId="3" applyFont="1" applyBorder="1" applyAlignment="1">
      <alignment horizontal="center"/>
    </xf>
    <xf numFmtId="0" fontId="13" fillId="0" borderId="0" xfId="3" applyFont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5" fillId="0" borderId="0" xfId="0" applyFont="1"/>
    <xf numFmtId="0" fontId="12" fillId="0" borderId="2" xfId="0" applyFont="1" applyBorder="1" applyAlignment="1">
      <alignment horizontal="center" vertical="center" wrapText="1"/>
    </xf>
    <xf numFmtId="0" fontId="14" fillId="0" borderId="7" xfId="4" applyFont="1" applyFill="1" applyBorder="1" applyAlignment="1">
      <alignment horizontal="center"/>
    </xf>
    <xf numFmtId="0" fontId="13" fillId="0" borderId="7" xfId="3" applyFont="1" applyFill="1" applyBorder="1" applyAlignment="1">
      <alignment horizontal="center"/>
    </xf>
    <xf numFmtId="0" fontId="13" fillId="0" borderId="7" xfId="3" applyFont="1" applyFill="1" applyBorder="1" applyAlignment="1">
      <alignment horizontal="center" vertical="center"/>
    </xf>
    <xf numFmtId="11" fontId="13" fillId="0" borderId="7" xfId="3" applyNumberFormat="1" applyFont="1" applyFill="1" applyBorder="1" applyAlignment="1">
      <alignment horizontal="center"/>
    </xf>
    <xf numFmtId="0" fontId="13" fillId="0" borderId="7" xfId="3" applyFont="1" applyFill="1" applyBorder="1" applyAlignment="1">
      <alignment horizontal="left"/>
    </xf>
    <xf numFmtId="0" fontId="13" fillId="0" borderId="7" xfId="3" applyFont="1" applyFill="1" applyBorder="1" applyAlignment="1">
      <alignment horizontal="left" vertical="center"/>
    </xf>
    <xf numFmtId="0" fontId="14" fillId="0" borderId="3" xfId="4" applyFont="1" applyFill="1" applyBorder="1" applyAlignment="1">
      <alignment horizontal="center"/>
    </xf>
    <xf numFmtId="0" fontId="16" fillId="0" borderId="3" xfId="4" applyFont="1" applyFill="1" applyBorder="1" applyAlignment="1">
      <alignment horizontal="left"/>
    </xf>
    <xf numFmtId="0" fontId="15" fillId="0" borderId="3" xfId="0" applyFont="1" applyBorder="1"/>
    <xf numFmtId="0" fontId="12" fillId="4" borderId="9" xfId="0" applyFont="1" applyFill="1" applyBorder="1" applyAlignment="1">
      <alignment horizontal="center" vertical="center" wrapText="1"/>
    </xf>
    <xf numFmtId="0" fontId="13" fillId="0" borderId="3" xfId="3" applyFont="1" applyFill="1" applyBorder="1"/>
    <xf numFmtId="0" fontId="13" fillId="0" borderId="10" xfId="3" applyFont="1" applyFill="1" applyBorder="1"/>
    <xf numFmtId="0" fontId="12" fillId="0" borderId="9" xfId="0" applyFont="1" applyBorder="1" applyAlignment="1">
      <alignment horizontal="center" vertical="center" wrapText="1"/>
    </xf>
    <xf numFmtId="0" fontId="1" fillId="0" borderId="0" xfId="0" applyFont="1" applyAlignment="1">
      <alignment horizontal="left"/>
    </xf>
    <xf numFmtId="0" fontId="1" fillId="0" borderId="3" xfId="0" applyFont="1" applyBorder="1" applyAlignment="1">
      <alignment horizontal="left"/>
    </xf>
    <xf numFmtId="0" fontId="1" fillId="0" borderId="3" xfId="0" applyFont="1" applyBorder="1" applyAlignment="1">
      <alignment horizontal="left" vertical="center"/>
    </xf>
    <xf numFmtId="11" fontId="1" fillId="0" borderId="4" xfId="0" applyNumberFormat="1" applyFont="1" applyBorder="1" applyAlignment="1">
      <alignment horizontal="center"/>
    </xf>
    <xf numFmtId="11" fontId="1" fillId="0" borderId="4" xfId="0" applyNumberFormat="1" applyFont="1" applyBorder="1" applyAlignment="1">
      <alignment horizontal="center" vertical="center"/>
    </xf>
    <xf numFmtId="0" fontId="1" fillId="0" borderId="3" xfId="0" applyFont="1" applyBorder="1"/>
    <xf numFmtId="0" fontId="1" fillId="0" borderId="6" xfId="0" applyFont="1" applyBorder="1" applyAlignment="1">
      <alignment horizontal="left"/>
    </xf>
    <xf numFmtId="49" fontId="1" fillId="0" borderId="6" xfId="0" applyNumberFormat="1" applyFont="1" applyBorder="1" applyAlignment="1">
      <alignment horizontal="center" vertical="center"/>
    </xf>
    <xf numFmtId="0" fontId="1" fillId="0" borderId="8" xfId="0" applyFont="1" applyBorder="1" applyAlignment="1">
      <alignment horizontal="left" vertical="center"/>
    </xf>
    <xf numFmtId="0" fontId="1" fillId="0" borderId="8" xfId="0" applyFont="1" applyBorder="1" applyAlignment="1">
      <alignment horizontal="left"/>
    </xf>
    <xf numFmtId="0" fontId="1" fillId="0" borderId="5" xfId="0" applyFont="1" applyBorder="1" applyAlignment="1">
      <alignment horizontal="left"/>
    </xf>
    <xf numFmtId="11" fontId="1" fillId="0" borderId="0" xfId="0" applyNumberFormat="1" applyFont="1" applyAlignment="1">
      <alignment horizontal="center" vertical="center"/>
    </xf>
    <xf numFmtId="11" fontId="1" fillId="0" borderId="0" xfId="0" applyNumberFormat="1" applyFont="1" applyAlignment="1">
      <alignment horizontal="center"/>
    </xf>
    <xf numFmtId="14" fontId="15" fillId="0" borderId="0" xfId="0" quotePrefix="1" applyNumberFormat="1" applyFont="1"/>
    <xf numFmtId="0" fontId="20" fillId="0" borderId="4" xfId="0" applyFont="1" applyBorder="1" applyAlignment="1">
      <alignment horizontal="left"/>
    </xf>
    <xf numFmtId="0" fontId="9" fillId="6" borderId="0" xfId="0" applyFont="1" applyFill="1" applyAlignment="1">
      <alignment horizontal="left" vertical="center"/>
    </xf>
    <xf numFmtId="0" fontId="15" fillId="0" borderId="0" xfId="0" applyFont="1" applyFill="1"/>
    <xf numFmtId="164" fontId="1" fillId="0" borderId="0" xfId="0" applyNumberFormat="1" applyFont="1" applyFill="1" applyAlignment="1">
      <alignment horizontal="center" vertical="center"/>
    </xf>
  </cellXfs>
  <cellStyles count="5">
    <cellStyle name="Bad" xfId="2" builtinId="27"/>
    <cellStyle name="Explanatory Text" xfId="4" builtinId="53"/>
    <cellStyle name="Good" xfId="1" builtinId="26"/>
    <cellStyle name="Hyperlink" xfId="3" builtinId="8"/>
    <cellStyle name="Normal" xfId="0" builtinId="0"/>
  </cellStyles>
  <dxfs count="21">
    <dxf>
      <fill>
        <patternFill>
          <bgColor rgb="FFFF9999"/>
        </patternFill>
      </fill>
    </dxf>
    <dxf>
      <font>
        <strike val="0"/>
        <outline val="0"/>
        <shadow val="0"/>
        <vertAlign val="baseline"/>
        <sz val="11"/>
        <name val="Aptos Narrow"/>
        <family val="2"/>
        <scheme val="none"/>
      </font>
      <fill>
        <patternFill patternType="none">
          <fgColor indexed="64"/>
          <bgColor auto="1"/>
        </patternFill>
      </fill>
    </dxf>
    <dxf>
      <fill>
        <patternFill patternType="none"/>
      </fill>
    </dxf>
    <dxf>
      <font>
        <strike val="0"/>
        <outline val="0"/>
        <shadow val="0"/>
        <vertAlign val="baseline"/>
        <sz val="11"/>
        <name val="Aptos Narrow"/>
        <family val="2"/>
        <scheme val="none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ont>
        <strike val="0"/>
        <outline val="0"/>
        <shadow val="0"/>
        <vertAlign val="baseline"/>
        <sz val="11"/>
        <name val="Aptos Narrow"/>
        <family val="2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vertAlign val="baseline"/>
        <sz val="11"/>
        <name val="Aptos Narrow"/>
        <family val="2"/>
        <scheme val="none"/>
      </font>
      <fill>
        <patternFill patternType="none">
          <fgColor indexed="64"/>
          <bgColor auto="1"/>
        </patternFill>
      </fill>
      <alignment horizontal="center" textRotation="0" wrapText="0" indent="0" justifyLastLine="0" shrinkToFit="0" readingOrder="0"/>
    </dxf>
    <dxf>
      <font>
        <strike val="0"/>
        <outline val="0"/>
        <shadow val="0"/>
        <vertAlign val="baseline"/>
        <sz val="11"/>
        <name val="Aptos Narrow"/>
        <family val="2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vertAlign val="baseline"/>
        <sz val="11"/>
        <name val="Aptos Narrow"/>
        <family val="2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vertAlign val="baseline"/>
        <sz val="11"/>
        <name val="Aptos Narrow"/>
        <family val="2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Aptos Narrow"/>
        <family val="2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numFmt numFmtId="30" formatCode="@"/>
      <alignment horizontal="center" vertical="center" textRotation="0" wrapText="0" indent="0" justifyLastLine="0" shrinkToFit="0" readingOrder="0"/>
    </dxf>
    <dxf>
      <font>
        <strike val="0"/>
        <outline val="0"/>
        <shadow val="0"/>
        <vertAlign val="baseline"/>
        <sz val="11"/>
        <name val="Aptos Narrow"/>
        <family val="2"/>
        <scheme val="none"/>
      </font>
      <numFmt numFmtId="30" formatCode="@"/>
      <fill>
        <patternFill patternType="none">
          <fgColor indexed="64"/>
          <bgColor auto="1"/>
        </patternFill>
      </fill>
      <alignment horizontal="center" textRotation="0" indent="0" justifyLastLine="0" shrinkToFit="0" readingOrder="0"/>
    </dxf>
    <dxf>
      <font>
        <strike val="0"/>
        <outline val="0"/>
        <shadow val="0"/>
        <vertAlign val="baseline"/>
        <sz val="11"/>
        <name val="Aptos Narrow"/>
        <family val="2"/>
        <scheme val="none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ont>
        <strike val="0"/>
        <outline val="0"/>
        <shadow val="0"/>
        <vertAlign val="baseline"/>
        <sz val="11"/>
        <name val="Aptos Narrow"/>
        <family val="2"/>
        <scheme val="none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ont>
        <strike val="0"/>
        <outline val="0"/>
        <shadow val="0"/>
        <vertAlign val="baseline"/>
        <sz val="11"/>
        <name val="Aptos Narrow"/>
        <family val="2"/>
        <scheme val="none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ont>
        <strike val="0"/>
        <outline val="0"/>
        <shadow val="0"/>
        <vertAlign val="baseline"/>
        <sz val="11"/>
        <name val="Aptos Narrow"/>
        <family val="2"/>
        <scheme val="none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ont>
        <strike val="0"/>
        <outline val="0"/>
        <shadow val="0"/>
        <vertAlign val="baseline"/>
        <sz val="11"/>
        <name val="Aptos Narrow"/>
        <family val="2"/>
        <scheme val="none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ont>
        <strike val="0"/>
        <outline val="0"/>
        <shadow val="0"/>
        <vertAlign val="baseline"/>
        <sz val="11"/>
        <name val="Aptos Narrow"/>
        <family val="2"/>
        <scheme val="none"/>
      </font>
      <fill>
        <patternFill patternType="none">
          <fgColor indexed="64"/>
          <bgColor auto="1"/>
        </patternFill>
      </fill>
    </dxf>
    <dxf>
      <border outline="0">
        <bottom style="thick">
          <color rgb="FFFFFFF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none"/>
      </font>
      <fill>
        <patternFill patternType="solid">
          <fgColor theme="8"/>
          <bgColor theme="8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/>
        <bottom/>
      </border>
    </dxf>
  </dxfs>
  <tableStyles count="0" defaultTableStyle="TableStyleMedium2" defaultPivotStyle="PivotStyleLight16"/>
  <colors>
    <mruColors>
      <color rgb="FFFF9999"/>
      <color rgb="FFFFC7CE"/>
      <color rgb="FFC02E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99060</xdr:rowOff>
    </xdr:from>
    <xdr:to>
      <xdr:col>1</xdr:col>
      <xdr:colOff>1353820</xdr:colOff>
      <xdr:row>0</xdr:row>
      <xdr:rowOff>631410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8F9622A-7840-4480-BD71-6BC4C08FF9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3920" y="99060"/>
          <a:ext cx="1348740" cy="541875"/>
        </a:xfrm>
        <a:prstGeom prst="rect">
          <a:avLst/>
        </a:prstGeom>
      </xdr:spPr>
    </xdr:pic>
    <xdr:clientData/>
  </xdr:twoCellAnchor>
</xdr:wsDr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View1" id="{8C1127E6-7437-4EFB-9C68-B6D65C45CD41}"/>
</namedSheetView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7120345-F75A-4DA9-BBA0-B2E34AD79EA8}" name="Table13" displayName="Table13" ref="A4:S554" totalsRowShown="0" headerRowDxfId="20" dataDxfId="18" headerRowBorderDxfId="19">
  <autoFilter ref="A4:S554" xr:uid="{732A1CFD-08C6-441D-A4A3-BAED643086BA}"/>
  <tableColumns count="19">
    <tableColumn id="1" xr3:uid="{ADA9BD89-E078-4225-BDD8-DDE5014132C7}" name="Generic Part Number" dataDxfId="17"/>
    <tableColumn id="8" xr3:uid="{635F7D53-D6A9-4833-A11B-6629C942076F}" name="Description" dataDxfId="16"/>
    <tableColumn id="3" xr3:uid="{0075D0AB-BAAE-4FE1-81A1-5F5DD0CBA5A0}" name="Orderable Material Number" dataDxfId="15"/>
    <tableColumn id="4" xr3:uid="{2CC853A6-0AC7-4860-BA9F-B6C0B7D210C3}" name="Category" dataDxfId="14"/>
    <tableColumn id="5" xr3:uid="{A9AFA5BE-16DD-4D3D-9359-D380599A88DA}" name="Sub-Category" dataDxfId="13"/>
    <tableColumn id="6" xr3:uid="{998DB48D-AC44-4C70-B177-EAD5CC7FEF2C}" name="Space Qualification Level_x000a_(Note: ASD, CSH and CSL are ADI flows, see analog.com/space for details)" dataDxfId="12"/>
    <tableColumn id="7" xr3:uid="{7D1F4182-7D9F-4781-8107-A328726C1A27}" name="Operating _x000a_Temperature" dataDxfId="11"/>
    <tableColumn id="2" xr3:uid="{3E2116B9-E3EA-4704-95E1-CFD936BDDB71}" name="Production Radiation Hardness Assurance (RHA)" dataDxfId="10"/>
    <tableColumn id="9" xr3:uid="{3DE4D581-9C37-480A-B40D-AC1A80AD7FC0}" name="TID Threshold  ǂ (kRad)" dataDxfId="9"/>
    <tableColumn id="10" xr3:uid="{B6621DB2-30F4-4095-AC3A-3313F149D333}" name="TID _x000a_Report" dataDxfId="8"/>
    <tableColumn id="11" xr3:uid="{46BF3FF2-8EF7-434D-AD1A-1455697DD252}" name="SEL Threshold ǂ _x000a_(MeV*cm2/mg)" dataDxfId="7"/>
    <tableColumn id="12" xr3:uid="{91BEC95E-8EF5-4EBD-8D93-6601B1338E6A}" name="SEE_x000a_Report" dataDxfId="6"/>
    <tableColumn id="13" xr3:uid="{3AE162DE-297E-4F92-9744-00B01E5D59FD}" name="Displacement Damage (TNID) Threshold  ǂ_x000a_(n/cm^2)" dataDxfId="5"/>
    <tableColumn id="14" xr3:uid="{70C6CBB2-7AC4-48A3-9040-81D12C235BBF}" name="Displacement Damage Report" dataDxfId="4"/>
    <tableColumn id="15" xr3:uid="{0830B539-D12B-4533-9BEC-42B223DBD445}" name="Package"/>
    <tableColumn id="16" xr3:uid="{A4356289-764C-4ADC-8734-1C3B48C185C7}" name="Package Material" dataDxfId="3"/>
    <tableColumn id="18" xr3:uid="{538E12E3-F677-4907-A703-E967C7F7A0C6}" name="Lead Finish" dataDxfId="2"/>
    <tableColumn id="19" xr3:uid="{A950864F-0BF4-4D71-ABA5-6AF8567E9B67}" name="ADI POD No. "/>
    <tableColumn id="17" xr3:uid="{ED74842A-4EB2-4009-B0B2-01AAF6FC5BE1}" name="Datasheet URL" dataDxfId="1"/>
  </tableColumns>
  <tableStyleInfo name="TableStyleMedium13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analog.com/media/en/radiation-information/radiation-reports/op27s_dd_2e12.pdf" TargetMode="External"/><Relationship Id="rId671" Type="http://schemas.openxmlformats.org/officeDocument/2006/relationships/hyperlink" Target="https://www.analog.com/media/en/radiation-information/radiation-reports/DAC08S_HDR_generic.pdf" TargetMode="External"/><Relationship Id="rId21" Type="http://schemas.openxmlformats.org/officeDocument/2006/relationships/hyperlink" Target="https://www.analog.com/media/en/radiation-information/radiation-reports/ad8212s_dd.pdf" TargetMode="External"/><Relationship Id="rId324" Type="http://schemas.openxmlformats.org/officeDocument/2006/relationships/hyperlink" Target="https://www.analog.com/media/en/technical-documentation/controlled-drawings/sid000039a-adh462s.pdf" TargetMode="External"/><Relationship Id="rId531" Type="http://schemas.openxmlformats.org/officeDocument/2006/relationships/hyperlink" Target="https://landandmaritimeapps.dla.mil/Downloads/MilSpec/Smd/00515.pdf" TargetMode="External"/><Relationship Id="rId629" Type="http://schemas.openxmlformats.org/officeDocument/2006/relationships/hyperlink" Target="https://landandmaritimeapps.dla.mil/Downloads/MilSpec/Smd/89932.pdf" TargetMode="External"/><Relationship Id="rId170" Type="http://schemas.openxmlformats.org/officeDocument/2006/relationships/hyperlink" Target="https://www.analog.com/media/en/radiation-information/radiation-reports/REF43_LDR_Generic.pdf" TargetMode="External"/><Relationship Id="rId268" Type="http://schemas.openxmlformats.org/officeDocument/2006/relationships/hyperlink" Target="https://www.analog.com/media/en/radiation-information/radiation-reports/RLAT%20Report_RH1021CMH-5_Fab%20Lot%2010222458.1.pdf" TargetMode="External"/><Relationship Id="rId475" Type="http://schemas.openxmlformats.org/officeDocument/2006/relationships/hyperlink" Target="https://landandmaritimeapps.dla.mil/Downloads/MilSpec/Smd/88537.pdf" TargetMode="External"/><Relationship Id="rId682" Type="http://schemas.openxmlformats.org/officeDocument/2006/relationships/hyperlink" Target="https://www.analog.com/media/en/radiation-information/radiation-reports/ad648-ldr.pdf" TargetMode="External"/><Relationship Id="rId32" Type="http://schemas.openxmlformats.org/officeDocument/2006/relationships/hyperlink" Target="https://www.analog.com/media/en/radiation-information/radiation-reports/AD8351S_SEL_generic.pdf" TargetMode="External"/><Relationship Id="rId128" Type="http://schemas.openxmlformats.org/officeDocument/2006/relationships/hyperlink" Target="https://www.analog.com/media/en/radiation-information/radiation-reports/OP470S_HDR_generic.pdf" TargetMode="External"/><Relationship Id="rId335" Type="http://schemas.openxmlformats.org/officeDocument/2006/relationships/hyperlink" Target="https://www.analog.com/media/en/technical-documentation/controlled-drawings/sid000019a-adh-aph634s.pdf" TargetMode="External"/><Relationship Id="rId542" Type="http://schemas.openxmlformats.org/officeDocument/2006/relationships/hyperlink" Target="https://landandmaritimeapps.dla.mil/Downloads/MilSpec/Smd/98637.pdf" TargetMode="External"/><Relationship Id="rId181" Type="http://schemas.openxmlformats.org/officeDocument/2006/relationships/hyperlink" Target="https://www.analog.com/media/en/radiation-information/radiation-reports/ELDRS_LDR_RH1056AMW_Fab_Lot_102171302.1_W13.pdf" TargetMode="External"/><Relationship Id="rId402" Type="http://schemas.openxmlformats.org/officeDocument/2006/relationships/hyperlink" Target="https://www.analog.com/media/en/technical-documentation/controlled-drawings/sid000061-adh1126s.pdf" TargetMode="External"/><Relationship Id="rId279" Type="http://schemas.openxmlformats.org/officeDocument/2006/relationships/hyperlink" Target="https://www.analog.com/media/en/radiation-information/radiation-reports/DDD_RH1498MW_Fab_Lot_W10739896.1_W9.pdf" TargetMode="External"/><Relationship Id="rId486" Type="http://schemas.openxmlformats.org/officeDocument/2006/relationships/hyperlink" Target="https://landandmaritimeapps.dla.mil/Downloads/MilSpec/Smd/93222.pdf" TargetMode="External"/><Relationship Id="rId693" Type="http://schemas.openxmlformats.org/officeDocument/2006/relationships/hyperlink" Target="https://www.analog.com/media/en/radiation-information/radiation-reports/OP400S_HDR_generic.pdf" TargetMode="External"/><Relationship Id="rId707" Type="http://schemas.openxmlformats.org/officeDocument/2006/relationships/hyperlink" Target="https://www.analog.com/media/en/radiation-information/radiation-reports/REF02S_HDR_generic.pdf" TargetMode="External"/><Relationship Id="rId43" Type="http://schemas.openxmlformats.org/officeDocument/2006/relationships/hyperlink" Target="https://www.analog.com/media/en/radiation-information/radiation-reports/AD9042S_LDR_generic.pdf" TargetMode="External"/><Relationship Id="rId139" Type="http://schemas.openxmlformats.org/officeDocument/2006/relationships/hyperlink" Target="https://www.analog.com/media/en/radiation-information/radiation-reports/op484_dd_2e12.pdf" TargetMode="External"/><Relationship Id="rId346" Type="http://schemas.openxmlformats.org/officeDocument/2006/relationships/hyperlink" Target="https://www.analog.com/media/en/radiation-information/radiation-reports/ad585-hdr-generic.pdf" TargetMode="External"/><Relationship Id="rId553" Type="http://schemas.openxmlformats.org/officeDocument/2006/relationships/hyperlink" Target="https://landandmaritimeapps.dla.mil/Downloads/MilSpec/Smd/09244.pdf" TargetMode="External"/><Relationship Id="rId192" Type="http://schemas.openxmlformats.org/officeDocument/2006/relationships/hyperlink" Target="https://www.analog.com/media/en/radiation-information/radiation-reports/RLAT%20Report_RH1814MW_Fab%20Lot%20WF004231.2.pdf" TargetMode="External"/><Relationship Id="rId206" Type="http://schemas.openxmlformats.org/officeDocument/2006/relationships/hyperlink" Target="https://www.analog.com/media/en/radiation-information/radiation-reports/adh8412-hdr-24-0001-30k%20report.pdf" TargetMode="External"/><Relationship Id="rId413" Type="http://schemas.openxmlformats.org/officeDocument/2006/relationships/hyperlink" Target="https://www.analog.com/media/en/radiation-information/radiation-reports/adl8142s-single-event-effects-report.pdf" TargetMode="External"/><Relationship Id="rId497" Type="http://schemas.openxmlformats.org/officeDocument/2006/relationships/hyperlink" Target="https://landandmaritimeapps.dla.mil/Downloads/MilSpec/Smd/02538.pdf" TargetMode="External"/><Relationship Id="rId620" Type="http://schemas.openxmlformats.org/officeDocument/2006/relationships/hyperlink" Target="https://landandmaritimeapps.dla.mil/Downloads/MilSpec/Smd/89581.pdf" TargetMode="External"/><Relationship Id="rId718" Type="http://schemas.openxmlformats.org/officeDocument/2006/relationships/hyperlink" Target="https://www.analog.com/media/en/radiation-information/radiation-reports/op42s-hdr.pdf" TargetMode="External"/><Relationship Id="rId357" Type="http://schemas.openxmlformats.org/officeDocument/2006/relationships/hyperlink" Target="https://www.analog.com/media/en/radiation-information/radiation-reports/ad9042s-hdr.pdf" TargetMode="External"/><Relationship Id="rId54" Type="http://schemas.openxmlformats.org/officeDocument/2006/relationships/hyperlink" Target="https://www.analog.com/media/en/radiation-information/radiation-reports/ADCLK925S_HDR_generic.pdf" TargetMode="External"/><Relationship Id="rId217" Type="http://schemas.openxmlformats.org/officeDocument/2006/relationships/hyperlink" Target="https://www.analog.com/media/en/radiation-information/radiation-reports/op467_dd_2e12.pdf" TargetMode="External"/><Relationship Id="rId564" Type="http://schemas.openxmlformats.org/officeDocument/2006/relationships/hyperlink" Target="https://landandmaritimeapps.dla.mil/Downloads/MilSpec/Smd/14206.pdf" TargetMode="External"/><Relationship Id="rId424" Type="http://schemas.openxmlformats.org/officeDocument/2006/relationships/hyperlink" Target="https://www.analog.com/media/en/radiation-information/radiation-reports/ada4084-2s-sel.pdf" TargetMode="External"/><Relationship Id="rId631" Type="http://schemas.openxmlformats.org/officeDocument/2006/relationships/hyperlink" Target="https://landandmaritimeapps.dla.mil/Downloads/MilSpec/Smd/89932.pdf" TargetMode="External"/><Relationship Id="rId729" Type="http://schemas.openxmlformats.org/officeDocument/2006/relationships/hyperlink" Target="https://www.analog.com/media/en/radiation-information/radiation-reports/adrf5050-csl-hdr.pdf" TargetMode="External"/><Relationship Id="rId270" Type="http://schemas.openxmlformats.org/officeDocument/2006/relationships/hyperlink" Target="https://www.analog.com/media/en/radiation-information/radiation-reports/RLAT_200K_Report_RH1499MW_Fab_Lot_W10739896.2_W20.pdf" TargetMode="External"/><Relationship Id="rId65" Type="http://schemas.openxmlformats.org/officeDocument/2006/relationships/hyperlink" Target="https://www.analog.com/media/en/radiation-information/radiation-reports/adl6010s_hdr_generic.pdf" TargetMode="External"/><Relationship Id="rId130" Type="http://schemas.openxmlformats.org/officeDocument/2006/relationships/hyperlink" Target="https://www.analog.com/media/en/radiation-information/radiation-reports/OP470S_LDR_generic.pdf" TargetMode="External"/><Relationship Id="rId368" Type="http://schemas.openxmlformats.org/officeDocument/2006/relationships/hyperlink" Target="https://www.analog.com/media/en/radiation-information/radiation-reports/adh361s-hdr.pdf" TargetMode="External"/><Relationship Id="rId575" Type="http://schemas.openxmlformats.org/officeDocument/2006/relationships/hyperlink" Target="https://landandmaritimeapps.dla.mil/Downloads/MilSpec/Smd/85127.pdf" TargetMode="External"/><Relationship Id="rId228" Type="http://schemas.openxmlformats.org/officeDocument/2006/relationships/hyperlink" Target="https://www.analog.com/media/en/radiation-information/radiation-reports/RLAT%20Report_RH108AH_Fab%20Lot%20WP1270.1.pdf" TargetMode="External"/><Relationship Id="rId435" Type="http://schemas.openxmlformats.org/officeDocument/2006/relationships/hyperlink" Target="https://www.analog.com/media/en/technical-documentation/controlled-drawings/sid000085a-adh128s.pdf" TargetMode="External"/><Relationship Id="rId642" Type="http://schemas.openxmlformats.org/officeDocument/2006/relationships/hyperlink" Target="https://landandmaritimeapps.dla.mil/Downloads/MilSpec/Smd/94680.pdf" TargetMode="External"/><Relationship Id="rId281" Type="http://schemas.openxmlformats.org/officeDocument/2006/relationships/hyperlink" Target="https://www.analog.com/media/en/radiation-information/radiation-reports/adl8141_hdr.pdf" TargetMode="External"/><Relationship Id="rId502" Type="http://schemas.openxmlformats.org/officeDocument/2006/relationships/hyperlink" Target="https://landandmaritimeapps.dla.mil/Downloads/MilSpec/Smd/09244.pdf" TargetMode="External"/><Relationship Id="rId76" Type="http://schemas.openxmlformats.org/officeDocument/2006/relationships/hyperlink" Target="https://www.analog.com/media/en/radiation-information/radiation-reports/DAC08S_HDR_generic.pdf" TargetMode="External"/><Relationship Id="rId141" Type="http://schemas.openxmlformats.org/officeDocument/2006/relationships/hyperlink" Target="https://www.analog.com/media/en/radiation-information/radiation-reports/op484_dd_2e12.pdf" TargetMode="External"/><Relationship Id="rId379" Type="http://schemas.openxmlformats.org/officeDocument/2006/relationships/hyperlink" Target="https://www.analog.com/media/en/radiation-information/radiation-reports/rh1021bmh-7-hdr.pdf" TargetMode="External"/><Relationship Id="rId586" Type="http://schemas.openxmlformats.org/officeDocument/2006/relationships/hyperlink" Target="https://landandmaritimeapps.dla.mil/Downloads/MilSpec/Smd/87739.pdf" TargetMode="External"/><Relationship Id="rId7" Type="http://schemas.openxmlformats.org/officeDocument/2006/relationships/hyperlink" Target="https://www.analog.com/media/en/radiation-information/radiation-reports/AD590S_HDR_generic.pdf" TargetMode="External"/><Relationship Id="rId239" Type="http://schemas.openxmlformats.org/officeDocument/2006/relationships/hyperlink" Target="https://www.analog.com/media/en/radiation-information/radiation-reports/see-test-report-rh1965.pdf" TargetMode="External"/><Relationship Id="rId446" Type="http://schemas.openxmlformats.org/officeDocument/2006/relationships/hyperlink" Target="https://www.analog.com/media/en/radiation-information/radiation-reports/adl8140-csl-radiation-report.pdf" TargetMode="External"/><Relationship Id="rId653" Type="http://schemas.openxmlformats.org/officeDocument/2006/relationships/hyperlink" Target="https://www.analog.com/media/en/radiation-information/radiation-reports/adh8412-dd-radiation-report.pdf" TargetMode="External"/><Relationship Id="rId292" Type="http://schemas.openxmlformats.org/officeDocument/2006/relationships/hyperlink" Target="https://www.analog.com/media/en/radiation-information/radiation-reports/AD8212S_SEL_generic.pdf" TargetMode="External"/><Relationship Id="rId306" Type="http://schemas.openxmlformats.org/officeDocument/2006/relationships/hyperlink" Target="https://www.analog.com/media/en/radiation-information/radiation-reports/PM156S_HDR_generic.pdf" TargetMode="External"/><Relationship Id="rId87" Type="http://schemas.openxmlformats.org/officeDocument/2006/relationships/hyperlink" Target="https://www.analog.com/media/en/radiation-information/radiation-reports/OP15S_HDR_generic.pdf" TargetMode="External"/><Relationship Id="rId513" Type="http://schemas.openxmlformats.org/officeDocument/2006/relationships/hyperlink" Target="https://landandmaritimeapps.dla.mil/Downloads/MilSpec/Smd/14233.pdf" TargetMode="External"/><Relationship Id="rId597" Type="http://schemas.openxmlformats.org/officeDocument/2006/relationships/hyperlink" Target="https://landandmaritimeapps.dla.mil/Downloads/MilSpec/Smd/88565.pdf" TargetMode="External"/><Relationship Id="rId720" Type="http://schemas.openxmlformats.org/officeDocument/2006/relationships/hyperlink" Target="https://www.analog.com/media/en/radiation-information/radiation-reports/adrf5022-hdr.pdf" TargetMode="External"/><Relationship Id="rId152" Type="http://schemas.openxmlformats.org/officeDocument/2006/relationships/hyperlink" Target="https://www.analog.com/media/en/radiation-information/radiation-reports/AD574S_SEL_generic.pdf" TargetMode="External"/><Relationship Id="rId457" Type="http://schemas.openxmlformats.org/officeDocument/2006/relationships/hyperlink" Target="https://www.analog.com/media/en/radiation-information/radiation-reports/AD584S_LDR_generic.pdf" TargetMode="External"/><Relationship Id="rId664" Type="http://schemas.openxmlformats.org/officeDocument/2006/relationships/hyperlink" Target="https://www.analog.com/media/en/radiation-information/radiation-reports/adl8143-single-event-effects-report.pdf" TargetMode="External"/><Relationship Id="rId14" Type="http://schemas.openxmlformats.org/officeDocument/2006/relationships/hyperlink" Target="https://www.analog.com/media/en/radiation-information/radiation-reports/AD8138S_LDR_generic.pdf" TargetMode="External"/><Relationship Id="rId317" Type="http://schemas.openxmlformats.org/officeDocument/2006/relationships/hyperlink" Target="https://www.analog.com/media/en/technical-documentation/data-sheets/adrf6780s-csl.pdf" TargetMode="External"/><Relationship Id="rId524" Type="http://schemas.openxmlformats.org/officeDocument/2006/relationships/hyperlink" Target="https://landandmaritimeapps.dla.mil/Downloads/MilSpec/Smd/89644.pdf" TargetMode="External"/><Relationship Id="rId731" Type="http://schemas.openxmlformats.org/officeDocument/2006/relationships/hyperlink" Target="https://www.analog.com/media/en/radiation-information/radiation-reports/adrf5050-csl-see-report.pdf" TargetMode="External"/><Relationship Id="rId98" Type="http://schemas.openxmlformats.org/officeDocument/2006/relationships/hyperlink" Target="https://www.analog.com/media/en/radiation-information/radiation-reports/op270s_dd.pdf" TargetMode="External"/><Relationship Id="rId163" Type="http://schemas.openxmlformats.org/officeDocument/2006/relationships/hyperlink" Target="https://www.analog.com/media/en/radiation-information/radiation-reports/ADA4610-2S_HDR_generic.pdf" TargetMode="External"/><Relationship Id="rId370" Type="http://schemas.openxmlformats.org/officeDocument/2006/relationships/hyperlink" Target="https://www.analog.com/media/en/radiation-information/radiation-reports/mat02-hdr.pdf" TargetMode="External"/><Relationship Id="rId230" Type="http://schemas.openxmlformats.org/officeDocument/2006/relationships/hyperlink" Target="https://www.analog.com/media/en/radiation-information/radiation-reports/DDD_RH117K_Fab_Lot_9529063_1_W9.pdf" TargetMode="External"/><Relationship Id="rId468" Type="http://schemas.openxmlformats.org/officeDocument/2006/relationships/hyperlink" Target="https://landandmaritimeapps.dla.mil/Downloads/MilSpec/Smd/87738.pdf" TargetMode="External"/><Relationship Id="rId675" Type="http://schemas.openxmlformats.org/officeDocument/2006/relationships/hyperlink" Target="https://www.analog.com/media/en/radiation-information/radiation-reports/amp01s-hdr.pdf" TargetMode="External"/><Relationship Id="rId25" Type="http://schemas.openxmlformats.org/officeDocument/2006/relationships/hyperlink" Target="https://www.analog.com/media/en/radiation-information/radiation-reports/AD8229S_SEE_generic.pdf" TargetMode="External"/><Relationship Id="rId328" Type="http://schemas.openxmlformats.org/officeDocument/2006/relationships/hyperlink" Target="https://www.analog.com/media/en/technical-documentation/controlled-drawings/sid000013a-adh635s.pdf" TargetMode="External"/><Relationship Id="rId535" Type="http://schemas.openxmlformats.org/officeDocument/2006/relationships/hyperlink" Target="https://landandmaritimeapps.dla.mil/Downloads/MilSpec/Smd/00516.pdf" TargetMode="External"/><Relationship Id="rId742" Type="http://schemas.openxmlformats.org/officeDocument/2006/relationships/hyperlink" Target="https://www.analog.com/media/en/radiation-information/radiation-reports/op484_dd_2e12.pdf" TargetMode="External"/><Relationship Id="rId174" Type="http://schemas.openxmlformats.org/officeDocument/2006/relationships/hyperlink" Target="https://www.analog.com/media/en/radiation-information/radiation-reports/ref43s_dd_2e12.pdf" TargetMode="External"/><Relationship Id="rId381" Type="http://schemas.openxmlformats.org/officeDocument/2006/relationships/hyperlink" Target="https://www.analog.com/media/en/radiation-information/radiation-reports/rh1185amk-hdr.pdf" TargetMode="External"/><Relationship Id="rId602" Type="http://schemas.openxmlformats.org/officeDocument/2006/relationships/hyperlink" Target="https://landandmaritimeapps.dla.mil/Downloads/MilSpec/Smd/88600.pdf" TargetMode="External"/><Relationship Id="rId241" Type="http://schemas.openxmlformats.org/officeDocument/2006/relationships/hyperlink" Target="https://www.analog.com/media/en/radiation-information/radiation-reports/SEE_Test_Report_RH3080.pdf" TargetMode="External"/><Relationship Id="rId479" Type="http://schemas.openxmlformats.org/officeDocument/2006/relationships/hyperlink" Target="https://landandmaritimeapps.dla.mil/Downloads/MilSpec/Smd/88593.pdf" TargetMode="External"/><Relationship Id="rId686" Type="http://schemas.openxmlformats.org/officeDocument/2006/relationships/hyperlink" Target="https://www.analog.com/media/en/radiation-information/radiation-reports/OP27S_HDR_generic.pdf" TargetMode="External"/><Relationship Id="rId36" Type="http://schemas.openxmlformats.org/officeDocument/2006/relationships/hyperlink" Target="https://www.analog.com/media/en/radiation-information/radiation-reports/AD8561S_LDR_generic.pdf" TargetMode="External"/><Relationship Id="rId339" Type="http://schemas.openxmlformats.org/officeDocument/2006/relationships/hyperlink" Target="https://www.analog.com/media/en/radiation-information/radiation-reports/adl8141_hdr.pdf" TargetMode="External"/><Relationship Id="rId546" Type="http://schemas.openxmlformats.org/officeDocument/2006/relationships/hyperlink" Target="https://landandmaritimeapps.dla.mil/Downloads/MilSpec/Smd/00517.pdf" TargetMode="External"/><Relationship Id="rId753" Type="http://schemas.openxmlformats.org/officeDocument/2006/relationships/hyperlink" Target="https://www.analog.com/media/en/radiation-information/radiation-reports/rh5596_hdr_generic.pdf" TargetMode="External"/><Relationship Id="rId101" Type="http://schemas.openxmlformats.org/officeDocument/2006/relationships/hyperlink" Target="https://www.analog.com/media/en/radiation-information/radiation-reports/OP270S_HDR_generic.pdf" TargetMode="External"/><Relationship Id="rId185" Type="http://schemas.openxmlformats.org/officeDocument/2006/relationships/hyperlink" Target="https://www.analog.com/media/en/radiation-information/radiation-reports/ELDRS_HDR_RH118W_Fab_Lot_10208970.1_W5.pdf" TargetMode="External"/><Relationship Id="rId406" Type="http://schemas.openxmlformats.org/officeDocument/2006/relationships/hyperlink" Target="https://www.analog.com/media/en/technical-documentation/controlled-drawings/sid000065a-adh849s-chip.pdf" TargetMode="External"/><Relationship Id="rId392" Type="http://schemas.openxmlformats.org/officeDocument/2006/relationships/hyperlink" Target="https://www.analog.com/media/en/technical-documentation/controlled-drawings/sid000028b-adh-alh445s.pdf" TargetMode="External"/><Relationship Id="rId613" Type="http://schemas.openxmlformats.org/officeDocument/2006/relationships/hyperlink" Target="https://landandmaritimeapps.dla.mil/Downloads/MilSpec/Smd/89479.pdf" TargetMode="External"/><Relationship Id="rId697" Type="http://schemas.openxmlformats.org/officeDocument/2006/relationships/hyperlink" Target="https://www.analog.com/media/en/radiation-information/radiation-reports/PM108S_HDR_generic.pdf" TargetMode="External"/><Relationship Id="rId252" Type="http://schemas.openxmlformats.org/officeDocument/2006/relationships/hyperlink" Target="https://www.analog.com/media/en/radiation-information/radiation-reports/op07_dd.pdf" TargetMode="External"/><Relationship Id="rId47" Type="http://schemas.openxmlformats.org/officeDocument/2006/relationships/hyperlink" Target="https://www.analog.com/media/en/radiation-information/radiation-reports/ADA4077-2S_LDR_generic.pdf" TargetMode="External"/><Relationship Id="rId112" Type="http://schemas.openxmlformats.org/officeDocument/2006/relationships/hyperlink" Target="https://www.analog.com/media/en/radiation-information/radiation-reports/op27s_dd_2e12.pdf" TargetMode="External"/><Relationship Id="rId557" Type="http://schemas.openxmlformats.org/officeDocument/2006/relationships/hyperlink" Target="https://landandmaritimeapps.dla.mil/Downloads/MilSpec/Smd/12233.pdf" TargetMode="External"/><Relationship Id="rId196" Type="http://schemas.openxmlformats.org/officeDocument/2006/relationships/hyperlink" Target="https://www.analog.com/media/en/radiation-information/radiation-reports/ad9176s_hdr_generic.pdf" TargetMode="External"/><Relationship Id="rId417" Type="http://schemas.openxmlformats.org/officeDocument/2006/relationships/hyperlink" Target="https://www.analog.com/media/en/technical-documentation/controlled-drawings/sid000081a-adh903s.pdf" TargetMode="External"/><Relationship Id="rId624" Type="http://schemas.openxmlformats.org/officeDocument/2006/relationships/hyperlink" Target="https://landandmaritimeapps.dla.mil/Downloads/MilSpec/Smd/89610.pdf" TargetMode="External"/><Relationship Id="rId263" Type="http://schemas.openxmlformats.org/officeDocument/2006/relationships/hyperlink" Target="https://www.analog.com/media/en/radiation-information/radiation-reports/RLAT%20Report_RH27CW_Fab%20Lot%2010223511.1.pdf" TargetMode="External"/><Relationship Id="rId470" Type="http://schemas.openxmlformats.org/officeDocument/2006/relationships/hyperlink" Target="https://landandmaritimeapps.dla.mil/Downloads/MilSpec/Smd/87738.pdf" TargetMode="External"/><Relationship Id="rId58" Type="http://schemas.openxmlformats.org/officeDocument/2006/relationships/hyperlink" Target="https://www.analog.com/media/en/radiation-information/radiation-reports/adh519s_hdr_generic.pdf" TargetMode="External"/><Relationship Id="rId123" Type="http://schemas.openxmlformats.org/officeDocument/2006/relationships/hyperlink" Target="https://www.analog.com/media/en/radiation-information/radiation-reports/op467_dd_2e12.pdf" TargetMode="External"/><Relationship Id="rId330" Type="http://schemas.openxmlformats.org/officeDocument/2006/relationships/hyperlink" Target="https://www.analog.com/media/en/technical-documentation/controlled-drawings/sid000048a-adh787s.pdf" TargetMode="External"/><Relationship Id="rId568" Type="http://schemas.openxmlformats.org/officeDocument/2006/relationships/hyperlink" Target="https://landandmaritimeapps.dla.mil/Downloads/MilSpec/Smd/15236.pdf" TargetMode="External"/><Relationship Id="rId428" Type="http://schemas.openxmlformats.org/officeDocument/2006/relationships/hyperlink" Target="https://www.analog.com/media/en/radiation-information/radiation-reports/ADCLK925S_SEL_generic.pdf" TargetMode="External"/><Relationship Id="rId635" Type="http://schemas.openxmlformats.org/officeDocument/2006/relationships/hyperlink" Target="https://landandmaritimeapps.dla.mil/Downloads/MilSpec/Smd/90603.pdf" TargetMode="External"/><Relationship Id="rId274" Type="http://schemas.openxmlformats.org/officeDocument/2006/relationships/hyperlink" Target="https://www.analog.com/media/en/radiation-information/radiation-reports/ELDRS_HDR_RH3845_WD005795.2_W9.pdf" TargetMode="External"/><Relationship Id="rId481" Type="http://schemas.openxmlformats.org/officeDocument/2006/relationships/hyperlink" Target="https://landandmaritimeapps.dla.mil/Downloads/MilSpec/Smd/88630.pdf" TargetMode="External"/><Relationship Id="rId702" Type="http://schemas.openxmlformats.org/officeDocument/2006/relationships/hyperlink" Target="https://www.analog.com/media/en/radiation-information/radiation-reports/REF43S_HDR_generic.pdf" TargetMode="External"/><Relationship Id="rId69" Type="http://schemas.openxmlformats.org/officeDocument/2006/relationships/hyperlink" Target="https://www.analog.com/media/en/radiation-information/radiation-reports/ADuM141ES_SEL_generic.pdf" TargetMode="External"/><Relationship Id="rId134" Type="http://schemas.openxmlformats.org/officeDocument/2006/relationships/hyperlink" Target="https://www.analog.com/media/en/radiation-information/radiation-reports/op471_dd.pdf" TargetMode="External"/><Relationship Id="rId579" Type="http://schemas.openxmlformats.org/officeDocument/2006/relationships/hyperlink" Target="https://landandmaritimeapps.dla.mil/Downloads/MilSpec/Smd/85514.pdf" TargetMode="External"/><Relationship Id="rId341" Type="http://schemas.openxmlformats.org/officeDocument/2006/relationships/hyperlink" Target="https://www.analog.com/media/en/radiation-information/radiation-reports/hmc8413-hdr-generic.pdf" TargetMode="External"/><Relationship Id="rId439" Type="http://schemas.openxmlformats.org/officeDocument/2006/relationships/hyperlink" Target="https://www.analog.com/media/en/technical-documentation/controlled-drawings/sid000088a-adh530s.pdf" TargetMode="External"/><Relationship Id="rId646" Type="http://schemas.openxmlformats.org/officeDocument/2006/relationships/hyperlink" Target="https://www.analog.com/media/en/technical-documentation/data-sheets/rh1814m.pdf" TargetMode="External"/><Relationship Id="rId201" Type="http://schemas.openxmlformats.org/officeDocument/2006/relationships/hyperlink" Target="https://www.analog.com/media/en/radiation-information/radiation-reports/ad9361-csl_hdr.pdf" TargetMode="External"/><Relationship Id="rId285" Type="http://schemas.openxmlformats.org/officeDocument/2006/relationships/hyperlink" Target="https://www.analog.com/media/en/radiation-information/radiation-reports/adl8142-2_hdr.pdf" TargetMode="External"/><Relationship Id="rId506" Type="http://schemas.openxmlformats.org/officeDocument/2006/relationships/hyperlink" Target="https://landandmaritimeapps.dla.mil/Downloads/MilSpec/Smd/13205.pdf" TargetMode="External"/><Relationship Id="rId492" Type="http://schemas.openxmlformats.org/officeDocument/2006/relationships/hyperlink" Target="https://landandmaritimeapps.dla.mil/Downloads/MilSpec/Smd/97535.pdf" TargetMode="External"/><Relationship Id="rId713" Type="http://schemas.openxmlformats.org/officeDocument/2006/relationships/hyperlink" Target="https://www.analog.com/media/en/radiation-information/radiation-reports/REF01S_HDR_generic.pdf" TargetMode="External"/><Relationship Id="rId145" Type="http://schemas.openxmlformats.org/officeDocument/2006/relationships/hyperlink" Target="https://www.analog.com/media/en/radiation-information/radiation-reports/PM139S_LDR_generic.pdf" TargetMode="External"/><Relationship Id="rId352" Type="http://schemas.openxmlformats.org/officeDocument/2006/relationships/hyperlink" Target="https://www.analog.com/media/en/radiation-information/radiation-reports/ad8041-hdr.pdf" TargetMode="External"/><Relationship Id="rId212" Type="http://schemas.openxmlformats.org/officeDocument/2006/relationships/hyperlink" Target="https://www.analog.com/media/en/radiation-information/radiation-reports/AD8306S_LDR_generic.pdf" TargetMode="External"/><Relationship Id="rId657" Type="http://schemas.openxmlformats.org/officeDocument/2006/relationships/hyperlink" Target="https://www.analog.com/media/en/radiation-information/radiation-reports/adl8120-see-report.pdf" TargetMode="External"/><Relationship Id="rId296" Type="http://schemas.openxmlformats.org/officeDocument/2006/relationships/hyperlink" Target="https://www.analog.com/media/en/radiation-information/radiation-reports/AD8351S_SEL_generic.pdf" TargetMode="External"/><Relationship Id="rId517" Type="http://schemas.openxmlformats.org/officeDocument/2006/relationships/hyperlink" Target="https://landandmaritimeapps.dla.mil/Downloads/MilSpec/Smd/87571.pdf" TargetMode="External"/><Relationship Id="rId724" Type="http://schemas.openxmlformats.org/officeDocument/2006/relationships/hyperlink" Target="https://www.analog.com/media/en/radiation-information/radiation-reports/adrf5048-csl-hdr-generic.pdf" TargetMode="External"/><Relationship Id="rId60" Type="http://schemas.openxmlformats.org/officeDocument/2006/relationships/hyperlink" Target="https://www.analog.com/media/en/radiation-information/radiation-reports/ADL5501S_HDR_generic.pdf" TargetMode="External"/><Relationship Id="rId156" Type="http://schemas.openxmlformats.org/officeDocument/2006/relationships/hyperlink" Target="https://www.analog.com/media/en/radiation-information/radiation-reports/ad9213_hdr.pdf" TargetMode="External"/><Relationship Id="rId363" Type="http://schemas.openxmlformats.org/officeDocument/2006/relationships/hyperlink" Target="https://www.analog.com/media/en/radiation-information/radiation-reports/ada4084-2s-dd.pdf" TargetMode="External"/><Relationship Id="rId570" Type="http://schemas.openxmlformats.org/officeDocument/2006/relationships/hyperlink" Target="https://landandmaritimeapps.dla.mil/Downloads/MilSpec/Smd/38128.pdf" TargetMode="External"/><Relationship Id="rId223" Type="http://schemas.openxmlformats.org/officeDocument/2006/relationships/hyperlink" Target="https://www.analog.com/media/en/radiation-information/radiation-reports/DDD_RH1021CMW-5_Fab_Lot_1022458_1_W13.pdf" TargetMode="External"/><Relationship Id="rId430" Type="http://schemas.openxmlformats.org/officeDocument/2006/relationships/hyperlink" Target="https://www.analog.com/media/en/radiation-information/radiation-reports/ada4084-4s-sel.pdf" TargetMode="External"/><Relationship Id="rId668" Type="http://schemas.openxmlformats.org/officeDocument/2006/relationships/hyperlink" Target="https://www.analog.com/media/en/radiation-information/radiation-reports/ad534-ldr-open-market.pdf" TargetMode="External"/><Relationship Id="rId18" Type="http://schemas.openxmlformats.org/officeDocument/2006/relationships/hyperlink" Target="https://www.analog.com/media/en/radiation-information/radiation-reports/AD8210S_HDR_generic.pdf" TargetMode="External"/><Relationship Id="rId528" Type="http://schemas.openxmlformats.org/officeDocument/2006/relationships/hyperlink" Target="https://landandmaritimeapps.dla.mil/Downloads/MilSpec/Smd/94680.pdf" TargetMode="External"/><Relationship Id="rId735" Type="http://schemas.openxmlformats.org/officeDocument/2006/relationships/hyperlink" Target="https://www.analog.com/media/en/radiation-information/radiation-reports/adrf5144-csl-hdr-generic.pdf" TargetMode="External"/><Relationship Id="rId167" Type="http://schemas.openxmlformats.org/officeDocument/2006/relationships/hyperlink" Target="https://www.analog.com/media/en/radiation-information/radiation-reports/REF05S_LDR_generic.pdf" TargetMode="External"/><Relationship Id="rId374" Type="http://schemas.openxmlformats.org/officeDocument/2006/relationships/hyperlink" Target="https://www.analog.com/media/en/radiation-information/radiation-reports/ref05-hdr.pdf" TargetMode="External"/><Relationship Id="rId581" Type="http://schemas.openxmlformats.org/officeDocument/2006/relationships/hyperlink" Target="https://landandmaritimeapps.dla.mil/Downloads/MilSpec/Smd/87571.pdf" TargetMode="External"/><Relationship Id="rId71" Type="http://schemas.openxmlformats.org/officeDocument/2006/relationships/hyperlink" Target="https://www.analog.com/media/en/radiation-information/radiation-reports/DAC08S_HDR_generic.pdf" TargetMode="External"/><Relationship Id="rId234" Type="http://schemas.openxmlformats.org/officeDocument/2006/relationships/hyperlink" Target="https://www.analog.com/media/en/radiation-information/radiation-reports/RLAT%20200K%20Report_RH1498MW_Fab%20Lot%20W10737593.1.pdf" TargetMode="External"/><Relationship Id="rId679" Type="http://schemas.openxmlformats.org/officeDocument/2006/relationships/hyperlink" Target="https://www.analog.com/media/en/radiation-information/radiation-reports/AD584S_HDR_generic.pdf" TargetMode="External"/><Relationship Id="rId2" Type="http://schemas.openxmlformats.org/officeDocument/2006/relationships/hyperlink" Target="https://www.analog.com/media/en/radiation-information/radiation-reports/AD584S_HDR_generic.pdf" TargetMode="External"/><Relationship Id="rId29" Type="http://schemas.openxmlformats.org/officeDocument/2006/relationships/hyperlink" Target="https://www.analog.com/media/en/radiation-information/radiation-reports/AD8346S_SEL_generic.pdf" TargetMode="External"/><Relationship Id="rId441" Type="http://schemas.openxmlformats.org/officeDocument/2006/relationships/hyperlink" Target="https://www.analog.com/media/en/radiation-information/radiation-reports/rh1959mw-high-dose-rate-radiation-report.pdf" TargetMode="External"/><Relationship Id="rId539" Type="http://schemas.openxmlformats.org/officeDocument/2006/relationships/hyperlink" Target="https://landandmaritimeapps.dla.mil/Downloads/MilSpec/Smd/98639.pdf" TargetMode="External"/><Relationship Id="rId746" Type="http://schemas.openxmlformats.org/officeDocument/2006/relationships/hyperlink" Target="https://www.analog.com/media/en/radiation-information/radiation-reports/op77-hdr.pdf" TargetMode="External"/><Relationship Id="rId178" Type="http://schemas.openxmlformats.org/officeDocument/2006/relationships/hyperlink" Target="https://www.analog.com/media/en/radiation-information/radiation-reports/RLAT%20200K%20Report_RH1013MJ8_Fab%20Lot%20W10722836.pdf" TargetMode="External"/><Relationship Id="rId301" Type="http://schemas.openxmlformats.org/officeDocument/2006/relationships/hyperlink" Target="https://www.analog.com/media/en/radiation-information/radiation-reports/dac08_dd.pdf" TargetMode="External"/><Relationship Id="rId82" Type="http://schemas.openxmlformats.org/officeDocument/2006/relationships/hyperlink" Target="https://www.analog.com/media/en/radiation-information/radiation-reports/OP07S_HDR_generic.pdf" TargetMode="External"/><Relationship Id="rId385" Type="http://schemas.openxmlformats.org/officeDocument/2006/relationships/hyperlink" Target="https://www.analog.com/media/en/radiation-information/radiation-reports/ad667-hdr.pdf" TargetMode="External"/><Relationship Id="rId592" Type="http://schemas.openxmlformats.org/officeDocument/2006/relationships/hyperlink" Target="https://landandmaritimeapps.dla.mil/Downloads/MilSpec/Smd/88539.pdf" TargetMode="External"/><Relationship Id="rId606" Type="http://schemas.openxmlformats.org/officeDocument/2006/relationships/hyperlink" Target="https://landandmaritimeapps.dla.mil/Downloads/MilSpec/Smd/88721.pdf" TargetMode="External"/><Relationship Id="rId245" Type="http://schemas.openxmlformats.org/officeDocument/2006/relationships/hyperlink" Target="https://www.analog.com/media/en/radiation-information/radiation-reports/ELDRS_HDR_RH3845_WD005795.2_W9.pdf" TargetMode="External"/><Relationship Id="rId452" Type="http://schemas.openxmlformats.org/officeDocument/2006/relationships/hyperlink" Target="https://www.analog.com/media/en/radiation-information/radiation-reports/adl8120-csl-radiation-report.pdf" TargetMode="External"/><Relationship Id="rId105" Type="http://schemas.openxmlformats.org/officeDocument/2006/relationships/hyperlink" Target="https://www.analog.com/media/en/radiation-information/radiation-reports/OP27S_HDR_generic.pdf" TargetMode="External"/><Relationship Id="rId312" Type="http://schemas.openxmlformats.org/officeDocument/2006/relationships/hyperlink" Target="https://www.analog.com/media/en/radiation-information/radiation-reports/RLAT%20Report_RH1034-1.2_Fab%20Lot%20WD003263.1.pdf" TargetMode="External"/><Relationship Id="rId757" Type="http://schemas.openxmlformats.org/officeDocument/2006/relationships/drawing" Target="../drawings/drawing1.xml"/><Relationship Id="rId93" Type="http://schemas.openxmlformats.org/officeDocument/2006/relationships/hyperlink" Target="https://www.analog.com/media/en/radiation-information/radiation-reports/op215s_dd.pdf" TargetMode="External"/><Relationship Id="rId189" Type="http://schemas.openxmlformats.org/officeDocument/2006/relationships/hyperlink" Target="https://www.analog.com/media/en/radiation-information/radiation-reports/ELDRS_HDR_RH1498MW_W1403645_3_W7.pdf" TargetMode="External"/><Relationship Id="rId396" Type="http://schemas.openxmlformats.org/officeDocument/2006/relationships/hyperlink" Target="https://www.analog.com/media/en/technical-documentation/controlled-drawings/sid000044a-adh704s.pdf" TargetMode="External"/><Relationship Id="rId617" Type="http://schemas.openxmlformats.org/officeDocument/2006/relationships/hyperlink" Target="https://landandmaritimeapps.dla.mil/Downloads/MilSpec/Smd/89542.pdf" TargetMode="External"/><Relationship Id="rId256" Type="http://schemas.openxmlformats.org/officeDocument/2006/relationships/hyperlink" Target="https://www.analog.com/media/en/radiation-information/radiation-reports/OP07S_HDR_generic.pdf" TargetMode="External"/><Relationship Id="rId463" Type="http://schemas.openxmlformats.org/officeDocument/2006/relationships/hyperlink" Target="https://landandmaritimeapps.dla.mil/Downloads/MilSpec/Smd/38128.pdf" TargetMode="External"/><Relationship Id="rId670" Type="http://schemas.openxmlformats.org/officeDocument/2006/relationships/hyperlink" Target="https://www.analog.com/media/en/radiation-information/radiation-reports/ad667-hdr.pdf" TargetMode="External"/><Relationship Id="rId116" Type="http://schemas.openxmlformats.org/officeDocument/2006/relationships/hyperlink" Target="https://www.analog.com/media/en/radiation-information/radiation-reports/op27s_dd_2e12.pdf" TargetMode="External"/><Relationship Id="rId323" Type="http://schemas.openxmlformats.org/officeDocument/2006/relationships/hyperlink" Target="https://www.analog.com/media/en/technical-documentation/controlled-drawings/sid000002a-adh438s.pdf" TargetMode="External"/><Relationship Id="rId530" Type="http://schemas.openxmlformats.org/officeDocument/2006/relationships/hyperlink" Target="https://landandmaritimeapps.dla.mil/Downloads/MilSpec/Smd/98646.pdf" TargetMode="External"/><Relationship Id="rId20" Type="http://schemas.openxmlformats.org/officeDocument/2006/relationships/hyperlink" Target="https://www.analog.com/media/en/radiation-information/radiation-reports/AD8212S_LDR_generic.pdf" TargetMode="External"/><Relationship Id="rId628" Type="http://schemas.openxmlformats.org/officeDocument/2006/relationships/hyperlink" Target="https://landandmaritimeapps.dla.mil/Downloads/MilSpec/Smd/89932.pdf" TargetMode="External"/><Relationship Id="rId267" Type="http://schemas.openxmlformats.org/officeDocument/2006/relationships/hyperlink" Target="https://www.analog.com/media/en/radiation-information/radiation-reports/RLAT%20200K%20Report_RH1014MW_Fab%20Lot%20W10722836%201.pdf" TargetMode="External"/><Relationship Id="rId474" Type="http://schemas.openxmlformats.org/officeDocument/2006/relationships/hyperlink" Target="https://landandmaritimeapps.dla.mil/Downloads/MilSpec/Smd/88513.pdf" TargetMode="External"/><Relationship Id="rId127" Type="http://schemas.openxmlformats.org/officeDocument/2006/relationships/hyperlink" Target="https://www.analog.com/media/en/radiation-information/radiation-reports/op470_dd.pdf" TargetMode="External"/><Relationship Id="rId681" Type="http://schemas.openxmlformats.org/officeDocument/2006/relationships/hyperlink" Target="https://www.analog.com/media/en/radiation-information/radiation-reports/ad648-ldr.pdf" TargetMode="External"/><Relationship Id="rId31" Type="http://schemas.openxmlformats.org/officeDocument/2006/relationships/hyperlink" Target="https://www.analog.com/media/en/radiation-information/radiation-reports/AD8351S_HDR_generic.pdf" TargetMode="External"/><Relationship Id="rId73" Type="http://schemas.openxmlformats.org/officeDocument/2006/relationships/hyperlink" Target="https://www.analog.com/media/en/radiation-information/radiation-reports/DAC08S_HDR_generic.pdf" TargetMode="External"/><Relationship Id="rId169" Type="http://schemas.openxmlformats.org/officeDocument/2006/relationships/hyperlink" Target="https://www.analog.com/media/en/radiation-information/radiation-reports/REF10S_HDR_generic.pdf" TargetMode="External"/><Relationship Id="rId334" Type="http://schemas.openxmlformats.org/officeDocument/2006/relationships/hyperlink" Target="https://www.analog.com/media/en/technical-documentation/controlled-drawings/sid000022a-adh903s.pdf" TargetMode="External"/><Relationship Id="rId376" Type="http://schemas.openxmlformats.org/officeDocument/2006/relationships/hyperlink" Target="https://www.analog.com/media/en/radiation-information/radiation-reports/rh1011w-hdr.pdf" TargetMode="External"/><Relationship Id="rId541" Type="http://schemas.openxmlformats.org/officeDocument/2006/relationships/hyperlink" Target="https://landandmaritimeapps.dla.mil/Downloads/MilSpec/Smd/98637.pdf" TargetMode="External"/><Relationship Id="rId583" Type="http://schemas.openxmlformats.org/officeDocument/2006/relationships/hyperlink" Target="https://landandmaritimeapps.dla.mil/Downloads/MilSpec/Smd/87571.pdf" TargetMode="External"/><Relationship Id="rId639" Type="http://schemas.openxmlformats.org/officeDocument/2006/relationships/hyperlink" Target="https://landandmaritimeapps.dla.mil/Downloads/MilSpec/Smd/94593.pdf" TargetMode="External"/><Relationship Id="rId4" Type="http://schemas.openxmlformats.org/officeDocument/2006/relationships/hyperlink" Target="https://www.analog.com/media/en/radiation-information/radiation-reports/AD590S_HDR_generic.pdf" TargetMode="External"/><Relationship Id="rId180" Type="http://schemas.openxmlformats.org/officeDocument/2006/relationships/hyperlink" Target="https://www.analog.com/media/en/radiation-information/radiation-reports/RLAT%20200K%20Report_RH101AW_Fab%20Lot%20WP1200%202.pdf" TargetMode="External"/><Relationship Id="rId236" Type="http://schemas.openxmlformats.org/officeDocument/2006/relationships/hyperlink" Target="https://www.analog.com/media/en/radiation-information/radiation-reports/RLAT%20Report_RH1573MJ8_Fab%20Lot%20W10809524.1.pdf" TargetMode="External"/><Relationship Id="rId278" Type="http://schemas.openxmlformats.org/officeDocument/2006/relationships/hyperlink" Target="https://www.analog.com/media/en/radiation-information/radiation-reports/DDD_RH1009MW_Fab_Lot_WP1399_1_W5.pdf" TargetMode="External"/><Relationship Id="rId401" Type="http://schemas.openxmlformats.org/officeDocument/2006/relationships/hyperlink" Target="https://www.analog.com/media/en/technical-documentation/controlled-drawings/sid000060a-adh576s.pdf" TargetMode="External"/><Relationship Id="rId443" Type="http://schemas.openxmlformats.org/officeDocument/2006/relationships/hyperlink" Target="https://www.analog.com/media/en/radiation-information/radiation-reports/ad565-hdr.pdf" TargetMode="External"/><Relationship Id="rId650" Type="http://schemas.openxmlformats.org/officeDocument/2006/relationships/hyperlink" Target="https://www.analog.com/media/en/radiation-information/radiation-reports/adh8412s-csh-hdr-generic.pdf" TargetMode="External"/><Relationship Id="rId303" Type="http://schemas.openxmlformats.org/officeDocument/2006/relationships/hyperlink" Target="https://www.analog.com/media/en/radiation-information/radiation-reports/DAC08S_HDR_generic.pdf" TargetMode="External"/><Relationship Id="rId485" Type="http://schemas.openxmlformats.org/officeDocument/2006/relationships/hyperlink" Target="https://landandmaritimeapps.dla.mil/Downloads/MilSpec/Smd/90537.pdf" TargetMode="External"/><Relationship Id="rId692" Type="http://schemas.openxmlformats.org/officeDocument/2006/relationships/hyperlink" Target="https://www.analog.com/media/en/radiation-information/radiation-reports/OP400S_HDR_generic.pdf" TargetMode="External"/><Relationship Id="rId706" Type="http://schemas.openxmlformats.org/officeDocument/2006/relationships/hyperlink" Target="https://www.analog.com/media/en/radiation-information/radiation-reports/REF02S_HDR_generic.pdf" TargetMode="External"/><Relationship Id="rId748" Type="http://schemas.openxmlformats.org/officeDocument/2006/relationships/hyperlink" Target="https://www.analog.com/media/en/radiation-information/radiation-reports/PM139S_HDR_generic.pdf" TargetMode="External"/><Relationship Id="rId42" Type="http://schemas.openxmlformats.org/officeDocument/2006/relationships/hyperlink" Target="https://www.analog.com/media/en/radiation-information/radiation-reports/AD8671S_SEL_generic.pdf" TargetMode="External"/><Relationship Id="rId84" Type="http://schemas.openxmlformats.org/officeDocument/2006/relationships/hyperlink" Target="https://www.analog.com/media/en/radiation-information/radiation-reports/op07_dd.pdf" TargetMode="External"/><Relationship Id="rId138" Type="http://schemas.openxmlformats.org/officeDocument/2006/relationships/hyperlink" Target="https://www.analog.com/media/en/radiation-information/radiation-reports/OP484S_HDR_generic.pdf" TargetMode="External"/><Relationship Id="rId345" Type="http://schemas.openxmlformats.org/officeDocument/2006/relationships/hyperlink" Target="https://www.analog.com/media/en/radiation-information/radiation-reports/ad1672-hdr-generic.pdf" TargetMode="External"/><Relationship Id="rId387" Type="http://schemas.openxmlformats.org/officeDocument/2006/relationships/hyperlink" Target="https://www.analog.com/media/en/radiation-information/radiation-reports/ad667-hdr.pdf" TargetMode="External"/><Relationship Id="rId510" Type="http://schemas.openxmlformats.org/officeDocument/2006/relationships/hyperlink" Target="https://landandmaritimeapps.dla.mil/Downloads/MilSpec/Smd/14205.pdf" TargetMode="External"/><Relationship Id="rId552" Type="http://schemas.openxmlformats.org/officeDocument/2006/relationships/hyperlink" Target="https://landandmaritimeapps.dla.mil/Downloads/MilSpec/Smd/09227.pdf" TargetMode="External"/><Relationship Id="rId594" Type="http://schemas.openxmlformats.org/officeDocument/2006/relationships/hyperlink" Target="https://landandmaritimeapps.dla.mil/Downloads/MilSpec/Smd/88565.pdf" TargetMode="External"/><Relationship Id="rId608" Type="http://schemas.openxmlformats.org/officeDocument/2006/relationships/hyperlink" Target="https://landandmaritimeapps.dla.mil/Downloads/MilSpec/Smd/88760.pdf" TargetMode="External"/><Relationship Id="rId191" Type="http://schemas.openxmlformats.org/officeDocument/2006/relationships/hyperlink" Target="https://www.analog.com/media/en/radiation-information/radiation-reports/RLAT_200K_Report_RH1499MW_Fab_Lot_W10739896.2_W20.pdf" TargetMode="External"/><Relationship Id="rId205" Type="http://schemas.openxmlformats.org/officeDocument/2006/relationships/hyperlink" Target="https://www.analog.com/media/en/radiation-information/radiation-reports/adh8411s_see.pdf" TargetMode="External"/><Relationship Id="rId247" Type="http://schemas.openxmlformats.org/officeDocument/2006/relationships/hyperlink" Target="https://www.analog.com/media/en/radiation-information/radiation-reports/SEE_Test_Report_RH3845.pdf" TargetMode="External"/><Relationship Id="rId412" Type="http://schemas.openxmlformats.org/officeDocument/2006/relationships/hyperlink" Target="https://www.analog.com/media/en/technical-documentation/controlled-drawings/sid000003a-adh1048s.pdf" TargetMode="External"/><Relationship Id="rId107" Type="http://schemas.openxmlformats.org/officeDocument/2006/relationships/hyperlink" Target="https://www.analog.com/media/en/radiation-information/radiation-reports/OP27S_HDR_generic.pdf" TargetMode="External"/><Relationship Id="rId289" Type="http://schemas.openxmlformats.org/officeDocument/2006/relationships/hyperlink" Target="https://www.analog.com/media/en/radiation-information/radiation-reports/AD8138S_HDR_generic.pdf" TargetMode="External"/><Relationship Id="rId454" Type="http://schemas.openxmlformats.org/officeDocument/2006/relationships/hyperlink" Target="https://www.analog.com/media/en/technical-documentation/controlled-drawings/sid000073a-adh252s.pdf" TargetMode="External"/><Relationship Id="rId496" Type="http://schemas.openxmlformats.org/officeDocument/2006/relationships/hyperlink" Target="https://landandmaritimeapps.dla.mil/Downloads/MilSpec/Smd/00517.pdf" TargetMode="External"/><Relationship Id="rId661" Type="http://schemas.openxmlformats.org/officeDocument/2006/relationships/hyperlink" Target="https://www.analog.com/media/en/radiation-information/radiation-reports/adrf6780s-single-event-effects-report.pdf" TargetMode="External"/><Relationship Id="rId717" Type="http://schemas.openxmlformats.org/officeDocument/2006/relationships/hyperlink" Target="https://www.analog.com/media/en/radiation-information/radiation-reports/RLAT_200K_Report_RH1021CMH-10_Fab_Lot_WP002452.1_W5.pdf" TargetMode="External"/><Relationship Id="rId759" Type="http://schemas.microsoft.com/office/2019/04/relationships/namedSheetView" Target="../namedSheetViews/namedSheetView1.xml"/><Relationship Id="rId11" Type="http://schemas.openxmlformats.org/officeDocument/2006/relationships/hyperlink" Target="https://www.analog.com/media/en/radiation-information/radiation-reports/AD8001S_HDR_generic.pdf" TargetMode="External"/><Relationship Id="rId53" Type="http://schemas.openxmlformats.org/officeDocument/2006/relationships/hyperlink" Target="https://www.analog.com/media/en/radiation-information/radiation-reports/ada4084-4s_hdr_generic.pdf" TargetMode="External"/><Relationship Id="rId149" Type="http://schemas.openxmlformats.org/officeDocument/2006/relationships/hyperlink" Target="https://www.analog.com/media/en/radiation-information/radiation-reports/AD574S_HDR_generic.pdf" TargetMode="External"/><Relationship Id="rId314" Type="http://schemas.openxmlformats.org/officeDocument/2006/relationships/hyperlink" Target="https://www.analog.com/media/en/technical-documentation/data-sheets/rh1959.pdf" TargetMode="External"/><Relationship Id="rId356" Type="http://schemas.openxmlformats.org/officeDocument/2006/relationships/hyperlink" Target="https://www.analog.com/media/en/radiation-information/radiation-reports/ad844-hdr.pdf" TargetMode="External"/><Relationship Id="rId398" Type="http://schemas.openxmlformats.org/officeDocument/2006/relationships/hyperlink" Target="https://www.analog.com/media/en/technical-documentation/controlled-drawings/sid000050a-adh534s.pdf" TargetMode="External"/><Relationship Id="rId521" Type="http://schemas.openxmlformats.org/officeDocument/2006/relationships/hyperlink" Target="https://landandmaritimeapps.dla.mil/Downloads/MilSpec/Smd/88565.pdf" TargetMode="External"/><Relationship Id="rId563" Type="http://schemas.openxmlformats.org/officeDocument/2006/relationships/hyperlink" Target="https://landandmaritimeapps.dla.mil/Downloads/MilSpec/Smd/14205.pdf" TargetMode="External"/><Relationship Id="rId619" Type="http://schemas.openxmlformats.org/officeDocument/2006/relationships/hyperlink" Target="https://landandmaritimeapps.dla.mil/Downloads/MilSpec/Smd/89581.pdf" TargetMode="External"/><Relationship Id="rId95" Type="http://schemas.openxmlformats.org/officeDocument/2006/relationships/hyperlink" Target="https://www.analog.com/media/en/radiation-information/radiation-reports/OP227S_HDR_generic.pdf" TargetMode="External"/><Relationship Id="rId160" Type="http://schemas.openxmlformats.org/officeDocument/2006/relationships/hyperlink" Target="https://www.analog.com/media/en/radiation-information/radiation-reports/ADA4096-2S_LDR_generic.pdf" TargetMode="External"/><Relationship Id="rId216" Type="http://schemas.openxmlformats.org/officeDocument/2006/relationships/hyperlink" Target="https://www.analog.com/media/en/radiation-information/radiation-reports/op27s_dd_2e12.pdf" TargetMode="External"/><Relationship Id="rId423" Type="http://schemas.openxmlformats.org/officeDocument/2006/relationships/hyperlink" Target="https://www.analog.com/media/en/technical-documentation/data-sheets/adrf6780s-csh.pdf" TargetMode="External"/><Relationship Id="rId258" Type="http://schemas.openxmlformats.org/officeDocument/2006/relationships/hyperlink" Target="https://www.analog.com/media/en/radiation-information/radiation-reports/RLAT%20200K%20Report_RH1013MJ8_Fab%20Lot%20W10722836.pdf" TargetMode="External"/><Relationship Id="rId465" Type="http://schemas.openxmlformats.org/officeDocument/2006/relationships/hyperlink" Target="https://landandmaritimeapps.dla.mil/Downloads/MilSpec/Smd/86802.pdf" TargetMode="External"/><Relationship Id="rId630" Type="http://schemas.openxmlformats.org/officeDocument/2006/relationships/hyperlink" Target="https://landandmaritimeapps.dla.mil/Downloads/MilSpec/Smd/89932.pdf" TargetMode="External"/><Relationship Id="rId672" Type="http://schemas.openxmlformats.org/officeDocument/2006/relationships/hyperlink" Target="https://www.analog.com/media/en/radiation-information/radiation-reports/OP07S_HDR_generic.pdf" TargetMode="External"/><Relationship Id="rId728" Type="http://schemas.openxmlformats.org/officeDocument/2006/relationships/hyperlink" Target="https://www.analog.com/media/en/radiation-information/radiation-reports/adrf5050-csl-hdr.pdf" TargetMode="External"/><Relationship Id="rId22" Type="http://schemas.openxmlformats.org/officeDocument/2006/relationships/hyperlink" Target="https://www.analog.com/media/en/radiation-information/radiation-reports/ad8212s_dd.pdf" TargetMode="External"/><Relationship Id="rId64" Type="http://schemas.openxmlformats.org/officeDocument/2006/relationships/hyperlink" Target="https://www.analog.com/media/en/radiation-information/radiation-reports/ADL5513S_SEL_generic.pdf" TargetMode="External"/><Relationship Id="rId118" Type="http://schemas.openxmlformats.org/officeDocument/2006/relationships/hyperlink" Target="https://www.analog.com/media/en/radiation-information/radiation-reports/op27s_dd_2e12.pdf" TargetMode="External"/><Relationship Id="rId325" Type="http://schemas.openxmlformats.org/officeDocument/2006/relationships/hyperlink" Target="https://www.analog.com/media/en/technical-documentation/controlled-drawings/sid000021a-adh465s.pdf" TargetMode="External"/><Relationship Id="rId367" Type="http://schemas.openxmlformats.org/officeDocument/2006/relationships/hyperlink" Target="https://www.analog.com/media/en/radiation-information/radiation-reports/adg201s-hdr.pdf" TargetMode="External"/><Relationship Id="rId532" Type="http://schemas.openxmlformats.org/officeDocument/2006/relationships/hyperlink" Target="https://landandmaritimeapps.dla.mil/Downloads/MilSpec/Smd/00515.pdf" TargetMode="External"/><Relationship Id="rId574" Type="http://schemas.openxmlformats.org/officeDocument/2006/relationships/hyperlink" Target="https://landandmaritimeapps.dla.mil/Downloads/MilSpec/Smd/85127.pdf" TargetMode="External"/><Relationship Id="rId171" Type="http://schemas.openxmlformats.org/officeDocument/2006/relationships/hyperlink" Target="https://www.analog.com/media/en/radiation-information/radiation-reports/ref43s_dd_2e12.pdf" TargetMode="External"/><Relationship Id="rId227" Type="http://schemas.openxmlformats.org/officeDocument/2006/relationships/hyperlink" Target="https://www.analog.com/media/en/radiation-information/radiation-reports/ELDRS%20Report_RH1086MK_Fab%20Lot%20W10913024.1.pdf" TargetMode="External"/><Relationship Id="rId269" Type="http://schemas.openxmlformats.org/officeDocument/2006/relationships/hyperlink" Target="https://www.analog.com/media/en/radiation-information/radiation-reports/ELDRS_HDR_RH1498MW_W1403645_3_W7.pdf" TargetMode="External"/><Relationship Id="rId434" Type="http://schemas.openxmlformats.org/officeDocument/2006/relationships/hyperlink" Target="https://www.analog.com/media/en/technical-documentation/controlled-drawings/sid000093a-adl9006s.pdf" TargetMode="External"/><Relationship Id="rId476" Type="http://schemas.openxmlformats.org/officeDocument/2006/relationships/hyperlink" Target="https://landandmaritimeapps.dla.mil/Downloads/MilSpec/Smd/88537.pdf" TargetMode="External"/><Relationship Id="rId641" Type="http://schemas.openxmlformats.org/officeDocument/2006/relationships/hyperlink" Target="https://landandmaritimeapps.dla.mil/Downloads/MilSpec/Smd/94680.pdf" TargetMode="External"/><Relationship Id="rId683" Type="http://schemas.openxmlformats.org/officeDocument/2006/relationships/hyperlink" Target="https://www.analog.com/media/en/radiation-information/radiation-reports/ad648-ldr.pdf" TargetMode="External"/><Relationship Id="rId739" Type="http://schemas.openxmlformats.org/officeDocument/2006/relationships/hyperlink" Target="https://www.analog.com/media/en/radiation-information/radiation-reports/op470_dd.pdf" TargetMode="External"/><Relationship Id="rId33" Type="http://schemas.openxmlformats.org/officeDocument/2006/relationships/hyperlink" Target="https://www.analog.com/media/en/radiation-information/radiation-reports/AD8367S_LDR_Generic.pdf" TargetMode="External"/><Relationship Id="rId129" Type="http://schemas.openxmlformats.org/officeDocument/2006/relationships/hyperlink" Target="https://www.analog.com/media/en/radiation-information/radiation-reports/OP470S_HDR_generic.pdf" TargetMode="External"/><Relationship Id="rId280" Type="http://schemas.openxmlformats.org/officeDocument/2006/relationships/hyperlink" Target="https://www.analog.com/media/en/radiation-information/radiation-reports/lt8650s-csl-hdr-24-0002-100k%20report.pdf" TargetMode="External"/><Relationship Id="rId336" Type="http://schemas.openxmlformats.org/officeDocument/2006/relationships/hyperlink" Target="https://www.analog.com/media/en/technical-documentation/controlled-drawings/sid000034a-adh-alh382s.pdf" TargetMode="External"/><Relationship Id="rId501" Type="http://schemas.openxmlformats.org/officeDocument/2006/relationships/hyperlink" Target="https://landandmaritimeapps.dla.mil/Downloads/MilSpec/Smd/09227.pdf" TargetMode="External"/><Relationship Id="rId543" Type="http://schemas.openxmlformats.org/officeDocument/2006/relationships/hyperlink" Target="https://landandmaritimeapps.dla.mil/Downloads/MilSpec/Smd/98636.pdf" TargetMode="External"/><Relationship Id="rId75" Type="http://schemas.openxmlformats.org/officeDocument/2006/relationships/hyperlink" Target="https://www.analog.com/media/en/radiation-information/radiation-reports/DAC08S_HDR_generic.pdf" TargetMode="External"/><Relationship Id="rId140" Type="http://schemas.openxmlformats.org/officeDocument/2006/relationships/hyperlink" Target="https://www.analog.com/media/en/radiation-information/radiation-reports/op484_dd_2e12.pdf" TargetMode="External"/><Relationship Id="rId182" Type="http://schemas.openxmlformats.org/officeDocument/2006/relationships/hyperlink" Target="https://www.analog.com/media/en/radiation-information/radiation-reports/RLAT%20200K%20Report_RH1021CMW-5_Fab%20Lot%2010222458%201.pdf" TargetMode="External"/><Relationship Id="rId378" Type="http://schemas.openxmlformats.org/officeDocument/2006/relationships/hyperlink" Target="https://www.analog.com/media/en/radiation-information/radiation-reports/rh1011w-hdr.pdf" TargetMode="External"/><Relationship Id="rId403" Type="http://schemas.openxmlformats.org/officeDocument/2006/relationships/hyperlink" Target="https://www.analog.com/media/en/technical-documentation/controlled-drawings/sid000062a-adh557as.pdf" TargetMode="External"/><Relationship Id="rId585" Type="http://schemas.openxmlformats.org/officeDocument/2006/relationships/hyperlink" Target="https://landandmaritimeapps.dla.mil/Downloads/MilSpec/Smd/87739.pdf" TargetMode="External"/><Relationship Id="rId750" Type="http://schemas.openxmlformats.org/officeDocument/2006/relationships/hyperlink" Target="https://www.analog.com/media/en/radiation-information/radiation-reports/rh5596-heavy-ion-test-report.pdf" TargetMode="External"/><Relationship Id="rId6" Type="http://schemas.openxmlformats.org/officeDocument/2006/relationships/hyperlink" Target="https://www.analog.com/media/en/radiation-information/radiation-reports/AD590S_HDR_generic.pdf" TargetMode="External"/><Relationship Id="rId238" Type="http://schemas.openxmlformats.org/officeDocument/2006/relationships/hyperlink" Target="https://www.analog.com/media/en/radiation-information/radiation-reports/DDD_Report_RH1959.pdf" TargetMode="External"/><Relationship Id="rId445" Type="http://schemas.openxmlformats.org/officeDocument/2006/relationships/hyperlink" Target="https://www.analog.com/media/en/radiation-information/radiation-reports/adl8140-csl-radiation-report.pdf" TargetMode="External"/><Relationship Id="rId487" Type="http://schemas.openxmlformats.org/officeDocument/2006/relationships/hyperlink" Target="https://landandmaritimeapps.dla.mil/Downloads/MilSpec/Smd/93258.pdf" TargetMode="External"/><Relationship Id="rId610" Type="http://schemas.openxmlformats.org/officeDocument/2006/relationships/hyperlink" Target="https://landandmaritimeapps.dla.mil/Downloads/MilSpec/Smd/88762.pdf" TargetMode="External"/><Relationship Id="rId652" Type="http://schemas.openxmlformats.org/officeDocument/2006/relationships/hyperlink" Target="https://www.analog.com/media/en/radiation-information/radiation-reports/adh8412-dd-radiation-report.pdf" TargetMode="External"/><Relationship Id="rId694" Type="http://schemas.openxmlformats.org/officeDocument/2006/relationships/hyperlink" Target="https://www.analog.com/media/en/radiation-information/radiation-reports/OP400S_HDR_generic.pdf" TargetMode="External"/><Relationship Id="rId708" Type="http://schemas.openxmlformats.org/officeDocument/2006/relationships/hyperlink" Target="https://www.analog.com/media/en/radiation-information/radiation-reports/REF02S_HDR_generic.pdf" TargetMode="External"/><Relationship Id="rId291" Type="http://schemas.openxmlformats.org/officeDocument/2006/relationships/hyperlink" Target="https://www.analog.com/media/en/radiation-information/radiation-reports/AD8210S_SEE_generic.pdf" TargetMode="External"/><Relationship Id="rId305" Type="http://schemas.openxmlformats.org/officeDocument/2006/relationships/hyperlink" Target="https://www.analog.com/media/en/radiation-information/radiation-reports/op07_dd.pdf" TargetMode="External"/><Relationship Id="rId347" Type="http://schemas.openxmlformats.org/officeDocument/2006/relationships/hyperlink" Target="https://www.analog.com/media/en/radiation-information/radiation-reports/ad585-hdr-generic.pdf" TargetMode="External"/><Relationship Id="rId512" Type="http://schemas.openxmlformats.org/officeDocument/2006/relationships/hyperlink" Target="https://landandmaritimeapps.dla.mil/Downloads/MilSpec/Smd/14207.pdf" TargetMode="External"/><Relationship Id="rId44" Type="http://schemas.openxmlformats.org/officeDocument/2006/relationships/hyperlink" Target="https://www.analog.com/media/en/radiation-information/radiation-reports/AD9246S__HDR_generic.pdf" TargetMode="External"/><Relationship Id="rId86" Type="http://schemas.openxmlformats.org/officeDocument/2006/relationships/hyperlink" Target="https://www.analog.com/media/en/radiation-information/radiation-reports/OP15S_HDR_generic.pdf" TargetMode="External"/><Relationship Id="rId151" Type="http://schemas.openxmlformats.org/officeDocument/2006/relationships/hyperlink" Target="https://www.analog.com/media/en/radiation-information/radiation-reports/AD574S_HDR_generic.pdf" TargetMode="External"/><Relationship Id="rId389" Type="http://schemas.openxmlformats.org/officeDocument/2006/relationships/hyperlink" Target="https://www.analog.com/media/en/technical-documentation/controlled-drawings/sid000001a-adh943as.pdf" TargetMode="External"/><Relationship Id="rId554" Type="http://schemas.openxmlformats.org/officeDocument/2006/relationships/hyperlink" Target="https://landandmaritimeapps.dla.mil/Downloads/MilSpec/Smd/10211.pdf" TargetMode="External"/><Relationship Id="rId596" Type="http://schemas.openxmlformats.org/officeDocument/2006/relationships/hyperlink" Target="https://landandmaritimeapps.dla.mil/Downloads/MilSpec/Smd/88565.pdf" TargetMode="External"/><Relationship Id="rId193" Type="http://schemas.openxmlformats.org/officeDocument/2006/relationships/hyperlink" Target="https://www.analog.com/media/en/radiation-information/radiation-reports/hdr_rh6105mw-generic-rad-report.pdf" TargetMode="External"/><Relationship Id="rId207" Type="http://schemas.openxmlformats.org/officeDocument/2006/relationships/hyperlink" Target="https://www.analog.com/media/en/radiation-information/radiation-reports/adh8412-hdr-24-0001-30k%20report.pdf" TargetMode="External"/><Relationship Id="rId249" Type="http://schemas.openxmlformats.org/officeDocument/2006/relationships/hyperlink" Target="https://www.analog.com/media/en/radiation-information/radiation-reports/RLAT%20200K%20Report_RH6200MW_Fab%20Lot%20WD004518.3%20W9.pdf" TargetMode="External"/><Relationship Id="rId414" Type="http://schemas.openxmlformats.org/officeDocument/2006/relationships/hyperlink" Target="https://www.analog.com/media/en/radiation-information/radiation-reports/adl8142s-single-event-effects-report.pdf" TargetMode="External"/><Relationship Id="rId456" Type="http://schemas.openxmlformats.org/officeDocument/2006/relationships/hyperlink" Target="https://www.analog.com/media/en/radiation-information/radiation-reports/adrf6780-csl-hdr.pdf" TargetMode="External"/><Relationship Id="rId498" Type="http://schemas.openxmlformats.org/officeDocument/2006/relationships/hyperlink" Target="https://landandmaritimeapps.dla.mil/Downloads/MilSpec/Smd/08218.pdf" TargetMode="External"/><Relationship Id="rId621" Type="http://schemas.openxmlformats.org/officeDocument/2006/relationships/hyperlink" Target="https://landandmaritimeapps.dla.mil/Downloads/MilSpec/Smd/89581.pdf" TargetMode="External"/><Relationship Id="rId663" Type="http://schemas.openxmlformats.org/officeDocument/2006/relationships/hyperlink" Target="https://www.analog.com/media/en/radiation-information/radiation-reports/adrf6780s-single-event-effects-report.pdf" TargetMode="External"/><Relationship Id="rId13" Type="http://schemas.openxmlformats.org/officeDocument/2006/relationships/hyperlink" Target="https://www.analog.com/media/en/radiation-information/radiation-reports/ad8041_dd.pdf" TargetMode="External"/><Relationship Id="rId109" Type="http://schemas.openxmlformats.org/officeDocument/2006/relationships/hyperlink" Target="https://www.analog.com/media/en/radiation-information/radiation-reports/OP27S_HDR_generic.pdf" TargetMode="External"/><Relationship Id="rId260" Type="http://schemas.openxmlformats.org/officeDocument/2006/relationships/hyperlink" Target="https://www.analog.com/media/en/radiation-information/radiation-reports/DDD_RH1498MW_Fab_Lot_W10739896.1_W9.pdf" TargetMode="External"/><Relationship Id="rId316" Type="http://schemas.openxmlformats.org/officeDocument/2006/relationships/hyperlink" Target="https://www.analog.com/media/en/radiation-information/radiation-reports/DDD_Report_RH1959.pdf" TargetMode="External"/><Relationship Id="rId523" Type="http://schemas.openxmlformats.org/officeDocument/2006/relationships/hyperlink" Target="https://landandmaritimeapps.dla.mil/Downloads/MilSpec/Smd/89581.pdf" TargetMode="External"/><Relationship Id="rId719" Type="http://schemas.openxmlformats.org/officeDocument/2006/relationships/hyperlink" Target="https://www.analog.com/media/en/radiation-information/radiation-reports/op42s-hdr.pdf" TargetMode="External"/><Relationship Id="rId55" Type="http://schemas.openxmlformats.org/officeDocument/2006/relationships/hyperlink" Target="https://www.analog.com/media/en/radiation-information/radiation-reports/ADCLK925S_LDR_generic.pdf" TargetMode="External"/><Relationship Id="rId97" Type="http://schemas.openxmlformats.org/officeDocument/2006/relationships/hyperlink" Target="https://www.analog.com/media/en/radiation-information/radiation-reports/OP270S_LDR_generic.pdf" TargetMode="External"/><Relationship Id="rId120" Type="http://schemas.openxmlformats.org/officeDocument/2006/relationships/hyperlink" Target="https://www.analog.com/media/en/radiation-information/radiation-reports/op27s_dd_2e12.pdf" TargetMode="External"/><Relationship Id="rId358" Type="http://schemas.openxmlformats.org/officeDocument/2006/relationships/hyperlink" Target="https://www.analog.com/media/en/radiation-information/radiation-reports/ad9042s-hdr.pdf" TargetMode="External"/><Relationship Id="rId565" Type="http://schemas.openxmlformats.org/officeDocument/2006/relationships/hyperlink" Target="https://landandmaritimeapps.dla.mil/Downloads/MilSpec/Smd/14207.pdf" TargetMode="External"/><Relationship Id="rId730" Type="http://schemas.openxmlformats.org/officeDocument/2006/relationships/hyperlink" Target="https://www.analog.com/media/en/radiation-information/radiation-reports/adrf5050-csl-see-report.pdf" TargetMode="External"/><Relationship Id="rId162" Type="http://schemas.openxmlformats.org/officeDocument/2006/relationships/hyperlink" Target="https://www.analog.com/media/en/radiation-information/radiation-reports/ADA4610-2S_LDR_generic.pdf" TargetMode="External"/><Relationship Id="rId218" Type="http://schemas.openxmlformats.org/officeDocument/2006/relationships/hyperlink" Target="https://www.analog.com/media/en/radiation-information/radiation-reports/OP484S_HDR_generic.pdf" TargetMode="External"/><Relationship Id="rId425" Type="http://schemas.openxmlformats.org/officeDocument/2006/relationships/hyperlink" Target="https://www.analog.com/media/en/radiation-information/radiation-reports/ada4084-2s-sel.pdf" TargetMode="External"/><Relationship Id="rId467" Type="http://schemas.openxmlformats.org/officeDocument/2006/relationships/hyperlink" Target="https://landandmaritimeapps.dla.mil/Downloads/MilSpec/Smd/87738.pdf" TargetMode="External"/><Relationship Id="rId632" Type="http://schemas.openxmlformats.org/officeDocument/2006/relationships/hyperlink" Target="https://landandmaritimeapps.dla.mil/Downloads/MilSpec/Smd/89932.pdf" TargetMode="External"/><Relationship Id="rId271" Type="http://schemas.openxmlformats.org/officeDocument/2006/relationships/hyperlink" Target="https://www.analog.com/media/en/radiation-information/radiation-reports/RLAT%20Report_RH27CW_Fab%20Lot%2010223511.1.pdf" TargetMode="External"/><Relationship Id="rId674" Type="http://schemas.openxmlformats.org/officeDocument/2006/relationships/hyperlink" Target="https://www.analog.com/media/en/radiation-information/radiation-reports/amp01s-hdr.pdf" TargetMode="External"/><Relationship Id="rId24" Type="http://schemas.openxmlformats.org/officeDocument/2006/relationships/hyperlink" Target="https://www.analog.com/media/en/radiation-information/radiation-reports/AD8229S_SEE_generic.pdf" TargetMode="External"/><Relationship Id="rId66" Type="http://schemas.openxmlformats.org/officeDocument/2006/relationships/hyperlink" Target="https://www.analog.com/media/en/radiation-information/radiation-reports/ADuM141ES_HDR_generic.pdf" TargetMode="External"/><Relationship Id="rId131" Type="http://schemas.openxmlformats.org/officeDocument/2006/relationships/hyperlink" Target="https://www.analog.com/media/en/radiation-information/radiation-reports/op470_dd.pdf" TargetMode="External"/><Relationship Id="rId327" Type="http://schemas.openxmlformats.org/officeDocument/2006/relationships/hyperlink" Target="https://www.analog.com/media/en/technical-documentation/controlled-drawings/sid000018a-adh606s.pdf" TargetMode="External"/><Relationship Id="rId369" Type="http://schemas.openxmlformats.org/officeDocument/2006/relationships/hyperlink" Target="https://www.analog.com/media/en/radiation-information/radiation-reports/mat02-hdr.pdf" TargetMode="External"/><Relationship Id="rId534" Type="http://schemas.openxmlformats.org/officeDocument/2006/relationships/hyperlink" Target="https://landandmaritimeapps.dla.mil/Downloads/MilSpec/Smd/00516.pdf" TargetMode="External"/><Relationship Id="rId576" Type="http://schemas.openxmlformats.org/officeDocument/2006/relationships/hyperlink" Target="https://landandmaritimeapps.dla.mil/Downloads/MilSpec/Smd/85514.pdf" TargetMode="External"/><Relationship Id="rId741" Type="http://schemas.openxmlformats.org/officeDocument/2006/relationships/hyperlink" Target="https://www.analog.com/media/en/radiation-information/radiation-reports/OP484S_HDR_generic.pdf" TargetMode="External"/><Relationship Id="rId173" Type="http://schemas.openxmlformats.org/officeDocument/2006/relationships/hyperlink" Target="https://www.analog.com/media/en/radiation-information/radiation-reports/ref43s_dd_2e12.pdf" TargetMode="External"/><Relationship Id="rId229" Type="http://schemas.openxmlformats.org/officeDocument/2006/relationships/hyperlink" Target="https://www.analog.com/media/en/radiation-information/radiation-reports/RLAT%20200K%20Report_RH117H_Fab%20Lot%20WP1060%201.pdf" TargetMode="External"/><Relationship Id="rId380" Type="http://schemas.openxmlformats.org/officeDocument/2006/relationships/hyperlink" Target="https://www.analog.com/media/en/radiation-information/radiation-reports/rh1128mw-hdr.pdf" TargetMode="External"/><Relationship Id="rId436" Type="http://schemas.openxmlformats.org/officeDocument/2006/relationships/hyperlink" Target="https://www.analog.com/media/en/technical-documentation/controlled-drawings/sid000087a-adh514s.pdf" TargetMode="External"/><Relationship Id="rId601" Type="http://schemas.openxmlformats.org/officeDocument/2006/relationships/hyperlink" Target="https://landandmaritimeapps.dla.mil/Downloads/MilSpec/Smd/88600.pdf" TargetMode="External"/><Relationship Id="rId643" Type="http://schemas.openxmlformats.org/officeDocument/2006/relationships/hyperlink" Target="https://landandmaritimeapps.dla.mil/Downloads/MilSpec/Smd/94680.pdf" TargetMode="External"/><Relationship Id="rId240" Type="http://schemas.openxmlformats.org/officeDocument/2006/relationships/hyperlink" Target="https://www.analog.com/media/en/radiation-information/radiation-reports/rh3080-tid-report.pdf" TargetMode="External"/><Relationship Id="rId478" Type="http://schemas.openxmlformats.org/officeDocument/2006/relationships/hyperlink" Target="https://landandmaritimeapps.dla.mil/Downloads/MilSpec/Smd/88593.pdf" TargetMode="External"/><Relationship Id="rId685" Type="http://schemas.openxmlformats.org/officeDocument/2006/relationships/hyperlink" Target="https://www.analog.com/media/en/radiation-information/radiation-reports/AD8561S_HDR_generic.pdf" TargetMode="External"/><Relationship Id="rId35" Type="http://schemas.openxmlformats.org/officeDocument/2006/relationships/hyperlink" Target="https://www.analog.com/media/en/radiation-information/radiation-reports/AD844S_LDR_generic.pdf" TargetMode="External"/><Relationship Id="rId77" Type="http://schemas.openxmlformats.org/officeDocument/2006/relationships/hyperlink" Target="https://www.analog.com/media/en/radiation-information/radiation-reports/DAC08S_LDR_generic.pdf" TargetMode="External"/><Relationship Id="rId100" Type="http://schemas.openxmlformats.org/officeDocument/2006/relationships/hyperlink" Target="https://www.analog.com/media/en/radiation-information/radiation-reports/OP270S_HDR_generic.pdf" TargetMode="External"/><Relationship Id="rId282" Type="http://schemas.openxmlformats.org/officeDocument/2006/relationships/hyperlink" Target="https://www.analog.com/media/en/technical-documentation/data-sheets/adl8141-csl.pdf" TargetMode="External"/><Relationship Id="rId338" Type="http://schemas.openxmlformats.org/officeDocument/2006/relationships/hyperlink" Target="https://www.analog.com/media/en/technical-documentation/data-sheets/adl8141-csl.pdf" TargetMode="External"/><Relationship Id="rId503" Type="http://schemas.openxmlformats.org/officeDocument/2006/relationships/hyperlink" Target="https://landandmaritimeapps.dla.mil/Downloads/MilSpec/Smd/10211.pdf" TargetMode="External"/><Relationship Id="rId545" Type="http://schemas.openxmlformats.org/officeDocument/2006/relationships/hyperlink" Target="https://landandmaritimeapps.dla.mil/Downloads/MilSpec/Smd/96839.pdf" TargetMode="External"/><Relationship Id="rId587" Type="http://schemas.openxmlformats.org/officeDocument/2006/relationships/hyperlink" Target="https://landandmaritimeapps.dla.mil/Downloads/MilSpec/Smd/87739.pdf" TargetMode="External"/><Relationship Id="rId710" Type="http://schemas.openxmlformats.org/officeDocument/2006/relationships/hyperlink" Target="https://www.analog.com/media/en/radiation-information/radiation-reports/REF01S_HDR_generic.pdf" TargetMode="External"/><Relationship Id="rId752" Type="http://schemas.openxmlformats.org/officeDocument/2006/relationships/hyperlink" Target="https://www.analog.com/media/en/radiation-information/radiation-reports/rh5596_hdr_generic.pdf" TargetMode="External"/><Relationship Id="rId8" Type="http://schemas.openxmlformats.org/officeDocument/2006/relationships/hyperlink" Target="https://www.analog.com/media/en/radiation-information/radiation-reports/AD590S_HDR_generic.pdf" TargetMode="External"/><Relationship Id="rId142" Type="http://schemas.openxmlformats.org/officeDocument/2006/relationships/hyperlink" Target="https://www.analog.com/media/en/radiation-information/radiation-reports/PM139S_HDR_generic.pdf" TargetMode="External"/><Relationship Id="rId184" Type="http://schemas.openxmlformats.org/officeDocument/2006/relationships/hyperlink" Target="https://www.analog.com/media/en/radiation-information/radiation-reports/RLAT%20200K%20Report_RH1056AMW_Fab%20Lot%2010217302.1.pdf" TargetMode="External"/><Relationship Id="rId391" Type="http://schemas.openxmlformats.org/officeDocument/2006/relationships/hyperlink" Target="https://www.analog.com/media/en/technical-documentation/controlled-drawings/sid000014a-adh-alh369s.pdf" TargetMode="External"/><Relationship Id="rId405" Type="http://schemas.openxmlformats.org/officeDocument/2006/relationships/hyperlink" Target="https://www.analog.com/media/en/technical-documentation/controlled-drawings/sid000064a-adh849s-lh5.pdf" TargetMode="External"/><Relationship Id="rId447" Type="http://schemas.openxmlformats.org/officeDocument/2006/relationships/hyperlink" Target="https://www.analog.com/media/en/technical-documentation/data-sheets/adl8143-csl.pdf" TargetMode="External"/><Relationship Id="rId612" Type="http://schemas.openxmlformats.org/officeDocument/2006/relationships/hyperlink" Target="https://landandmaritimeapps.dla.mil/Downloads/MilSpec/Smd/88762.pdf" TargetMode="External"/><Relationship Id="rId251" Type="http://schemas.openxmlformats.org/officeDocument/2006/relationships/hyperlink" Target="https://www.analog.com/media/en/radiation-information/radiation-reports/op07_dd.pdf" TargetMode="External"/><Relationship Id="rId489" Type="http://schemas.openxmlformats.org/officeDocument/2006/relationships/hyperlink" Target="https://landandmaritimeapps.dla.mil/Downloads/MilSpec/Smd/96892.pdf" TargetMode="External"/><Relationship Id="rId654" Type="http://schemas.openxmlformats.org/officeDocument/2006/relationships/hyperlink" Target="https://www.analog.com/media/en/radiation-information/radiation-reports/adh8412-dd-radiation-report.pdf" TargetMode="External"/><Relationship Id="rId696" Type="http://schemas.openxmlformats.org/officeDocument/2006/relationships/hyperlink" Target="https://www.analog.com/media/en/radiation-information/radiation-reports/PM108S_HDR_generic.pdf" TargetMode="External"/><Relationship Id="rId46" Type="http://schemas.openxmlformats.org/officeDocument/2006/relationships/hyperlink" Target="https://www.analog.com/media/en/radiation-information/radiation-reports/ad9254_generic_sel.pdf" TargetMode="External"/><Relationship Id="rId293" Type="http://schemas.openxmlformats.org/officeDocument/2006/relationships/hyperlink" Target="https://www.analog.com/media/en/radiation-information/radiation-reports/AD8212S_SEL_generic.pdf" TargetMode="External"/><Relationship Id="rId307" Type="http://schemas.openxmlformats.org/officeDocument/2006/relationships/hyperlink" Target="https://www.analog.com/media/en/radiation-information/radiation-reports/PM156S_HDR_generic.pdf" TargetMode="External"/><Relationship Id="rId349" Type="http://schemas.openxmlformats.org/officeDocument/2006/relationships/hyperlink" Target="https://www.analog.com/media/en/radiation-information/radiation-reports/ad8001-seu.pdf" TargetMode="External"/><Relationship Id="rId514" Type="http://schemas.openxmlformats.org/officeDocument/2006/relationships/hyperlink" Target="https://landandmaritimeapps.dla.mil/Downloads/MilSpec/Smd/15236.pdf" TargetMode="External"/><Relationship Id="rId556" Type="http://schemas.openxmlformats.org/officeDocument/2006/relationships/hyperlink" Target="https://landandmaritimeapps.dla.mil/Downloads/MilSpec/Smd/11239.pdf" TargetMode="External"/><Relationship Id="rId721" Type="http://schemas.openxmlformats.org/officeDocument/2006/relationships/hyperlink" Target="https://www.analog.com/media/en/radiation-information/radiation-reports/adrf5022-csl-see-report.pdf" TargetMode="External"/><Relationship Id="rId88" Type="http://schemas.openxmlformats.org/officeDocument/2006/relationships/hyperlink" Target="https://www.analog.com/media/en/radiation-information/radiation-reports/OP15S_HDR_generic.pdf" TargetMode="External"/><Relationship Id="rId111" Type="http://schemas.openxmlformats.org/officeDocument/2006/relationships/hyperlink" Target="https://www.analog.com/media/en/radiation-information/radiation-reports/OP27S_LDR_generic.pdf" TargetMode="External"/><Relationship Id="rId153" Type="http://schemas.openxmlformats.org/officeDocument/2006/relationships/hyperlink" Target="https://www.analog.com/media/en/radiation-information/radiation-reports/AD574S_SEL_generic.pdf" TargetMode="External"/><Relationship Id="rId195" Type="http://schemas.openxmlformats.org/officeDocument/2006/relationships/hyperlink" Target="https://www.analog.com/media/en/radiation-information/radiation-reports/ad9814s_hdr.pdf" TargetMode="External"/><Relationship Id="rId209" Type="http://schemas.openxmlformats.org/officeDocument/2006/relationships/hyperlink" Target="https://www.analog.com/media/en/radiation-information/radiation-reports/ad585_dd.pdf" TargetMode="External"/><Relationship Id="rId360" Type="http://schemas.openxmlformats.org/officeDocument/2006/relationships/hyperlink" Target="https://www.analog.com/media/en/radiation-information/radiation-reports/ad9731s-hdr.pdf" TargetMode="External"/><Relationship Id="rId416" Type="http://schemas.openxmlformats.org/officeDocument/2006/relationships/hyperlink" Target="https://www.analog.com/media/en/technical-documentation/controlled-drawings/sid000079a-adh607s.pdf" TargetMode="External"/><Relationship Id="rId598" Type="http://schemas.openxmlformats.org/officeDocument/2006/relationships/hyperlink" Target="https://landandmaritimeapps.dla.mil/Downloads/MilSpec/Smd/88565.pdf" TargetMode="External"/><Relationship Id="rId220" Type="http://schemas.openxmlformats.org/officeDocument/2006/relationships/hyperlink" Target="https://www.analog.com/media/en/radiation-information/radiation-reports/PM139S_HDR_generic.pdf" TargetMode="External"/><Relationship Id="rId458" Type="http://schemas.openxmlformats.org/officeDocument/2006/relationships/hyperlink" Target="https://www.analog.com/media/en/radiation-information/radiation-reports/AD584S_HDR_generic.pdf" TargetMode="External"/><Relationship Id="rId623" Type="http://schemas.openxmlformats.org/officeDocument/2006/relationships/hyperlink" Target="https://landandmaritimeapps.dla.mil/Downloads/MilSpec/Smd/89610.pdf" TargetMode="External"/><Relationship Id="rId665" Type="http://schemas.openxmlformats.org/officeDocument/2006/relationships/hyperlink" Target="https://www.analog.com/media/en/radiation-information/radiation-reports/adl8143-single-event-effects-report.pdf" TargetMode="External"/><Relationship Id="rId15" Type="http://schemas.openxmlformats.org/officeDocument/2006/relationships/hyperlink" Target="https://www.analog.com/media/en/radiation-information/radiation-reports/AD8182S_LDR_generic.pdf" TargetMode="External"/><Relationship Id="rId57" Type="http://schemas.openxmlformats.org/officeDocument/2006/relationships/hyperlink" Target="https://www.analog.com/media/en/radiation-information/radiation-reports/ADF4108S_HDR_generic.pdf" TargetMode="External"/><Relationship Id="rId262" Type="http://schemas.openxmlformats.org/officeDocument/2006/relationships/hyperlink" Target="https://www.analog.com/media/en/radiation-information/radiation-reports/RH6105%20Heavy%20Ion%20Test%20Report.pdf" TargetMode="External"/><Relationship Id="rId318" Type="http://schemas.openxmlformats.org/officeDocument/2006/relationships/hyperlink" Target="https://www.analog.com/media/en/radiation-information/radiation-reports/adrf6780-csl-hdr.pdf" TargetMode="External"/><Relationship Id="rId525" Type="http://schemas.openxmlformats.org/officeDocument/2006/relationships/hyperlink" Target="https://landandmaritimeapps.dla.mil/Downloads/MilSpec/Smd/89932.pdf" TargetMode="External"/><Relationship Id="rId567" Type="http://schemas.openxmlformats.org/officeDocument/2006/relationships/hyperlink" Target="https://landandmaritimeapps.dla.mil/Downloads/MilSpec/Smd/14233.pdf" TargetMode="External"/><Relationship Id="rId732" Type="http://schemas.openxmlformats.org/officeDocument/2006/relationships/hyperlink" Target="https://www.analog.com/media/en/radiation-information/radiation-reports/adrf5144-csl-sel-report.pdf" TargetMode="External"/><Relationship Id="rId99" Type="http://schemas.openxmlformats.org/officeDocument/2006/relationships/hyperlink" Target="https://www.analog.com/media/en/radiation-information/radiation-reports/op270s_dd.pdf" TargetMode="External"/><Relationship Id="rId122" Type="http://schemas.openxmlformats.org/officeDocument/2006/relationships/hyperlink" Target="https://www.analog.com/media/en/radiation-information/radiation-reports/RLAT_200K_Report_RH1021CMH-10_Fab_Lot_WP002452.1_W5.pdf" TargetMode="External"/><Relationship Id="rId164" Type="http://schemas.openxmlformats.org/officeDocument/2006/relationships/hyperlink" Target="https://www.analog.com/media/en/radiation-information/radiation-reports/REF01S_LDR_generic.pdf" TargetMode="External"/><Relationship Id="rId371" Type="http://schemas.openxmlformats.org/officeDocument/2006/relationships/hyperlink" Target="https://www.analog.com/media/en/radiation-information/radiation-reports/pm111-hdr.pdf" TargetMode="External"/><Relationship Id="rId427" Type="http://schemas.openxmlformats.org/officeDocument/2006/relationships/hyperlink" Target="https://www.analog.com/media/en/technical-documentation/controlled-drawings/sid0000084-adh987s.pdf" TargetMode="External"/><Relationship Id="rId469" Type="http://schemas.openxmlformats.org/officeDocument/2006/relationships/hyperlink" Target="https://landandmaritimeapps.dla.mil/Downloads/MilSpec/Smd/87771.pdf" TargetMode="External"/><Relationship Id="rId634" Type="http://schemas.openxmlformats.org/officeDocument/2006/relationships/hyperlink" Target="https://landandmaritimeapps.dla.mil/Downloads/MilSpec/Smd/90603.pdf" TargetMode="External"/><Relationship Id="rId676" Type="http://schemas.openxmlformats.org/officeDocument/2006/relationships/hyperlink" Target="https://www.analog.com/media/en/radiation-information/radiation-reports/ad571-hdr.pdf" TargetMode="External"/><Relationship Id="rId26" Type="http://schemas.openxmlformats.org/officeDocument/2006/relationships/hyperlink" Target="https://www.analog.com/media/en/radiation-information/radiation-reports/AD8306S_SEL_generic.pdf" TargetMode="External"/><Relationship Id="rId231" Type="http://schemas.openxmlformats.org/officeDocument/2006/relationships/hyperlink" Target="https://www.analog.com/media/en/radiation-information/radiation-reports/RLAT%20200K%20Report_RH119W_F0258.1.pdf" TargetMode="External"/><Relationship Id="rId273" Type="http://schemas.openxmlformats.org/officeDocument/2006/relationships/hyperlink" Target="https://www.analog.com/media/en/radiation-information/radiation-reports/ELDRS_HDR_RH3845_WD005795.2_W9.pdf" TargetMode="External"/><Relationship Id="rId329" Type="http://schemas.openxmlformats.org/officeDocument/2006/relationships/hyperlink" Target="https://www.analog.com/media/en/technical-documentation/controlled-drawings/sid000023a-adh659s.pdf" TargetMode="External"/><Relationship Id="rId480" Type="http://schemas.openxmlformats.org/officeDocument/2006/relationships/hyperlink" Target="https://landandmaritimeapps.dla.mil/Downloads/MilSpec/Smd/88630.pdf" TargetMode="External"/><Relationship Id="rId536" Type="http://schemas.openxmlformats.org/officeDocument/2006/relationships/hyperlink" Target="https://landandmaritimeapps.dla.mil/Downloads/MilSpec/Smd/00517.pdf" TargetMode="External"/><Relationship Id="rId701" Type="http://schemas.openxmlformats.org/officeDocument/2006/relationships/hyperlink" Target="https://www.analog.com/media/en/radiation-information/radiation-reports/REF43S_HDR_generic.pdf" TargetMode="External"/><Relationship Id="rId68" Type="http://schemas.openxmlformats.org/officeDocument/2006/relationships/hyperlink" Target="https://www.analog.com/media/en/radiation-information/radiation-reports/adum3190s_see_generic.pdf" TargetMode="External"/><Relationship Id="rId133" Type="http://schemas.openxmlformats.org/officeDocument/2006/relationships/hyperlink" Target="https://www.analog.com/media/en/radiation-information/radiation-reports/OP471S_LDR_generic.pdf" TargetMode="External"/><Relationship Id="rId175" Type="http://schemas.openxmlformats.org/officeDocument/2006/relationships/hyperlink" Target="https://www.analog.com/media/en/radiation-information/radiation-reports/RLAT%20200K%20Report_RH1009MH_Fab%20Lot%20W10737659.1.pdf" TargetMode="External"/><Relationship Id="rId340" Type="http://schemas.openxmlformats.org/officeDocument/2006/relationships/hyperlink" Target="https://www.analog.com/media/en/technical-documentation/controlled-drawings/sid000053s-adh913s.pdf" TargetMode="External"/><Relationship Id="rId578" Type="http://schemas.openxmlformats.org/officeDocument/2006/relationships/hyperlink" Target="https://landandmaritimeapps.dla.mil/Downloads/MilSpec/Smd/85514.pdf" TargetMode="External"/><Relationship Id="rId743" Type="http://schemas.openxmlformats.org/officeDocument/2006/relationships/hyperlink" Target="https://www.analog.com/media/en/radiation-information/radiation-reports/OP484S_HDR_generic.pdf" TargetMode="External"/><Relationship Id="rId200" Type="http://schemas.openxmlformats.org/officeDocument/2006/relationships/hyperlink" Target="https://www.analog.com/media/en/radiation-information/radiation-reports/ad9257s_hdr_generic.pdf" TargetMode="External"/><Relationship Id="rId382" Type="http://schemas.openxmlformats.org/officeDocument/2006/relationships/hyperlink" Target="https://www.analog.com/media/en/radiation-information/radiation-reports/rh6016s-hdr.pdf" TargetMode="External"/><Relationship Id="rId438" Type="http://schemas.openxmlformats.org/officeDocument/2006/relationships/hyperlink" Target="https://www.analog.com/media/en/technical-documentation/controlled-drawings/sid000090a-adh835s.pdf" TargetMode="External"/><Relationship Id="rId603" Type="http://schemas.openxmlformats.org/officeDocument/2006/relationships/hyperlink" Target="https://landandmaritimeapps.dla.mil/Downloads/MilSpec/Smd/88600.pdf" TargetMode="External"/><Relationship Id="rId645" Type="http://schemas.openxmlformats.org/officeDocument/2006/relationships/hyperlink" Target="https://www.analog.com/media/en/technical-documentation/data-sheets/rh10281128fe.pdf" TargetMode="External"/><Relationship Id="rId687" Type="http://schemas.openxmlformats.org/officeDocument/2006/relationships/hyperlink" Target="https://www.analog.com/media/en/radiation-information/radiation-reports/op27s_dd_2e12.pdf" TargetMode="External"/><Relationship Id="rId242" Type="http://schemas.openxmlformats.org/officeDocument/2006/relationships/hyperlink" Target="https://www.analog.com/media/en/radiation-information/radiation-reports/DDD_RH3080MK_Fab_Lot_H0923840_4_W3.pdf" TargetMode="External"/><Relationship Id="rId284" Type="http://schemas.openxmlformats.org/officeDocument/2006/relationships/hyperlink" Target="https://www.analog.com/media/en/radiation-information/radiation-reports/adl8142s_hdr.pdf" TargetMode="External"/><Relationship Id="rId491" Type="http://schemas.openxmlformats.org/officeDocument/2006/relationships/hyperlink" Target="https://landandmaritimeapps.dla.mil/Downloads/MilSpec/Smd/97535.pdf" TargetMode="External"/><Relationship Id="rId505" Type="http://schemas.openxmlformats.org/officeDocument/2006/relationships/hyperlink" Target="https://landandmaritimeapps.dla.mil/Downloads/MilSpec/Smd/12233.pdf" TargetMode="External"/><Relationship Id="rId712" Type="http://schemas.openxmlformats.org/officeDocument/2006/relationships/hyperlink" Target="https://www.analog.com/media/en/radiation-information/radiation-reports/REF01S_HDR_generic.pdf" TargetMode="External"/><Relationship Id="rId37" Type="http://schemas.openxmlformats.org/officeDocument/2006/relationships/hyperlink" Target="https://www.analog.com/media/en/radiation-information/radiation-reports/AD8561S_HDR_generic.pdf" TargetMode="External"/><Relationship Id="rId79" Type="http://schemas.openxmlformats.org/officeDocument/2006/relationships/hyperlink" Target="https://www.analog.com/media/en/radiation-information/radiation-reports/ADuM7442S_SEE_generic.pdf" TargetMode="External"/><Relationship Id="rId102" Type="http://schemas.openxmlformats.org/officeDocument/2006/relationships/hyperlink" Target="https://www.analog.com/media/en/radiation-information/radiation-reports/op270s_dd.pdf" TargetMode="External"/><Relationship Id="rId144" Type="http://schemas.openxmlformats.org/officeDocument/2006/relationships/hyperlink" Target="https://www.analog.com/media/en/radiation-information/radiation-reports/PM139S_LDR_generic.pdf" TargetMode="External"/><Relationship Id="rId547" Type="http://schemas.openxmlformats.org/officeDocument/2006/relationships/hyperlink" Target="https://landandmaritimeapps.dla.mil/Downloads/MilSpec/Smd/02538.pdf" TargetMode="External"/><Relationship Id="rId589" Type="http://schemas.openxmlformats.org/officeDocument/2006/relationships/hyperlink" Target="https://landandmaritimeapps.dla.mil/Downloads/MilSpec/Smd/87771.pdf" TargetMode="External"/><Relationship Id="rId754" Type="http://schemas.openxmlformats.org/officeDocument/2006/relationships/hyperlink" Target="https://www.analog.com/media/en/radiation-information/radiation-reports/adrf5730-hrd-characterization.pdf" TargetMode="External"/><Relationship Id="rId90" Type="http://schemas.openxmlformats.org/officeDocument/2006/relationships/hyperlink" Target="https://www.analog.com/media/en/radiation-information/radiation-reports/OP215S_HDR_generic.pdf" TargetMode="External"/><Relationship Id="rId186" Type="http://schemas.openxmlformats.org/officeDocument/2006/relationships/hyperlink" Target="https://www.analog.com/media/en/radiation-information/radiation-reports/DDD_RH1009MW_Fab_Lot_WP1399_1_W5.pdf" TargetMode="External"/><Relationship Id="rId351" Type="http://schemas.openxmlformats.org/officeDocument/2006/relationships/hyperlink" Target="https://www.analog.com/media/en/radiation-information/radiation-reports/ad8001-seu.pdf" TargetMode="External"/><Relationship Id="rId393" Type="http://schemas.openxmlformats.org/officeDocument/2006/relationships/hyperlink" Target="https://www.analog.com/media/en/technical-documentation/controlled-drawings/sid000029b-adh383s.pdf" TargetMode="External"/><Relationship Id="rId407" Type="http://schemas.openxmlformats.org/officeDocument/2006/relationships/hyperlink" Target="https://www.analog.com/media/en/technical-documentation/controlled-drawings/sid000067a-adh1081s.pdf" TargetMode="External"/><Relationship Id="rId449" Type="http://schemas.openxmlformats.org/officeDocument/2006/relationships/hyperlink" Target="https://www.analog.com/media/en/radiation-information/radiation-reports/adl8143-csl-radiation-report.pdf" TargetMode="External"/><Relationship Id="rId614" Type="http://schemas.openxmlformats.org/officeDocument/2006/relationships/hyperlink" Target="https://landandmaritimeapps.dla.mil/Downloads/MilSpec/Smd/89479.pdf" TargetMode="External"/><Relationship Id="rId656" Type="http://schemas.openxmlformats.org/officeDocument/2006/relationships/hyperlink" Target="https://www.analog.com/media/en/radiation-information/radiation-reports/adh8412-dd-radiation-report.pdf" TargetMode="External"/><Relationship Id="rId211" Type="http://schemas.openxmlformats.org/officeDocument/2006/relationships/hyperlink" Target="https://www.analog.com/media/en/radiation-information/radiation-reports/AD8001S_LDR_generic.pdf" TargetMode="External"/><Relationship Id="rId253" Type="http://schemas.openxmlformats.org/officeDocument/2006/relationships/hyperlink" Target="https://www.analog.com/media/en/radiation-information/radiation-reports/op07_dd.pdf" TargetMode="External"/><Relationship Id="rId295" Type="http://schemas.openxmlformats.org/officeDocument/2006/relationships/hyperlink" Target="https://www.analog.com/media/en/radiation-information/radiation-reports/AD8346S_SEL_generic.pdf" TargetMode="External"/><Relationship Id="rId309" Type="http://schemas.openxmlformats.org/officeDocument/2006/relationships/hyperlink" Target="https://www.analog.com/media/en/radiation-information/radiation-reports/ref43s_dd_2e12.pdf" TargetMode="External"/><Relationship Id="rId460" Type="http://schemas.openxmlformats.org/officeDocument/2006/relationships/hyperlink" Target="https://landandmaritimeapps.dla.mil/Downloads/MilSpec/Smd/00517.pdf" TargetMode="External"/><Relationship Id="rId516" Type="http://schemas.openxmlformats.org/officeDocument/2006/relationships/hyperlink" Target="https://landandmaritimeapps.dla.mil/Downloads/MilSpec/Smd/85514.pdf" TargetMode="External"/><Relationship Id="rId698" Type="http://schemas.openxmlformats.org/officeDocument/2006/relationships/hyperlink" Target="https://www.analog.com/media/en/radiation-information/radiation-reports/PM108S_HDR_generic.pdf" TargetMode="External"/><Relationship Id="rId48" Type="http://schemas.openxmlformats.org/officeDocument/2006/relationships/hyperlink" Target="https://www.analog.com/media/en/radiation-information/radiation-reports/ADA4077-2S_HDR_generic.pdf" TargetMode="External"/><Relationship Id="rId113" Type="http://schemas.openxmlformats.org/officeDocument/2006/relationships/hyperlink" Target="https://www.analog.com/media/en/radiation-information/radiation-reports/op27s_dd_2e12.pdf" TargetMode="External"/><Relationship Id="rId320" Type="http://schemas.openxmlformats.org/officeDocument/2006/relationships/hyperlink" Target="https://www.analog.com/media/en/technical-documentation/controlled-drawings/sid000020a-adh232s.pdf" TargetMode="External"/><Relationship Id="rId558" Type="http://schemas.openxmlformats.org/officeDocument/2006/relationships/hyperlink" Target="https://landandmaritimeapps.dla.mil/Downloads/MilSpec/Smd/13205.pdf" TargetMode="External"/><Relationship Id="rId723" Type="http://schemas.openxmlformats.org/officeDocument/2006/relationships/hyperlink" Target="https://www.analog.com/media/en/radiation-information/radiation-reports/adrf5022-csl-see-report.pdf" TargetMode="External"/><Relationship Id="rId155" Type="http://schemas.openxmlformats.org/officeDocument/2006/relationships/hyperlink" Target="https://www.analog.com/media/en/radiation-information/radiation-reports/AD574S_SEL_generic.pdf" TargetMode="External"/><Relationship Id="rId197" Type="http://schemas.openxmlformats.org/officeDocument/2006/relationships/hyperlink" Target="https://www.analog.com/media/en/radiation-information/radiation-reports/ad9361-csh.pdf" TargetMode="External"/><Relationship Id="rId362" Type="http://schemas.openxmlformats.org/officeDocument/2006/relationships/hyperlink" Target="https://www.analog.com/media/en/radiation-information/radiation-reports/ad9731s-hdr.pdf" TargetMode="External"/><Relationship Id="rId418" Type="http://schemas.openxmlformats.org/officeDocument/2006/relationships/hyperlink" Target="https://www.analog.com/media/en/technical-documentation/controlled-drawings/sid000074a-adh812s.pdf" TargetMode="External"/><Relationship Id="rId625" Type="http://schemas.openxmlformats.org/officeDocument/2006/relationships/hyperlink" Target="https://landandmaritimeapps.dla.mil/Downloads/MilSpec/Smd/89644.pdf" TargetMode="External"/><Relationship Id="rId222" Type="http://schemas.openxmlformats.org/officeDocument/2006/relationships/hyperlink" Target="https://www.analog.com/media/en/radiation-information/radiation-reports/RLAT%20200K%20Report_RH101AW_Fab%20Lot%20WP1200%202.pdf" TargetMode="External"/><Relationship Id="rId264" Type="http://schemas.openxmlformats.org/officeDocument/2006/relationships/hyperlink" Target="https://www.analog.com/media/en/radiation-information/radiation-reports/RLAT%20Report_RH27CW_Fab%20Lot%2010223511.1.pdf" TargetMode="External"/><Relationship Id="rId471" Type="http://schemas.openxmlformats.org/officeDocument/2006/relationships/hyperlink" Target="https://landandmaritimeapps.dla.mil/Downloads/MilSpec/Smd/87771.pdf" TargetMode="External"/><Relationship Id="rId667" Type="http://schemas.openxmlformats.org/officeDocument/2006/relationships/hyperlink" Target="https://www.analog.com/media/en/radiation-information/radiation-reports/ad565-hdr.pdf" TargetMode="External"/><Relationship Id="rId17" Type="http://schemas.openxmlformats.org/officeDocument/2006/relationships/hyperlink" Target="https://www.analog.com/media/en/radiation-information/radiation-reports/AD8210S_LDR_generic.pdf" TargetMode="External"/><Relationship Id="rId59" Type="http://schemas.openxmlformats.org/officeDocument/2006/relationships/hyperlink" Target="https://www.analog.com/media/en/radiation-information/radiation-reports/ADH987S_HDR_generic.pdf" TargetMode="External"/><Relationship Id="rId124" Type="http://schemas.openxmlformats.org/officeDocument/2006/relationships/hyperlink" Target="https://www.analog.com/media/en/radiation-information/radiation-reports/op467_dd_2e12.pdf" TargetMode="External"/><Relationship Id="rId527" Type="http://schemas.openxmlformats.org/officeDocument/2006/relationships/hyperlink" Target="https://landandmaritimeapps.dla.mil/Downloads/MilSpec/Smd/94593.pdf" TargetMode="External"/><Relationship Id="rId569" Type="http://schemas.openxmlformats.org/officeDocument/2006/relationships/hyperlink" Target="https://landandmaritimeapps.dla.mil/Downloads/MilSpec/Smd/19215.pdf" TargetMode="External"/><Relationship Id="rId734" Type="http://schemas.openxmlformats.org/officeDocument/2006/relationships/hyperlink" Target="https://www.analog.com/media/en/radiation-information/radiation-reports/adrf5144-csl-hdr-generic.pdf" TargetMode="External"/><Relationship Id="rId70" Type="http://schemas.openxmlformats.org/officeDocument/2006/relationships/hyperlink" Target="https://www.analog.com/media/en/radiation-information/radiation-reports/dac08_dd.pdf" TargetMode="External"/><Relationship Id="rId166" Type="http://schemas.openxmlformats.org/officeDocument/2006/relationships/hyperlink" Target="https://www.analog.com/media/en/radiation-information/radiation-reports/REF02S_HDR_generic.pdf" TargetMode="External"/><Relationship Id="rId331" Type="http://schemas.openxmlformats.org/officeDocument/2006/relationships/hyperlink" Target="https://www.analog.com/media/en/technical-documentation/controlled-drawings/sid000005a-adh8191s.pdf" TargetMode="External"/><Relationship Id="rId373" Type="http://schemas.openxmlformats.org/officeDocument/2006/relationships/hyperlink" Target="https://www.analog.com/media/en/radiation-information/radiation-reports/ref05-hdr.pdf" TargetMode="External"/><Relationship Id="rId429" Type="http://schemas.openxmlformats.org/officeDocument/2006/relationships/hyperlink" Target="https://www.analog.com/media/en/radiation-information/radiation-reports/ADCLK925S_SEL_generic.pdf" TargetMode="External"/><Relationship Id="rId580" Type="http://schemas.openxmlformats.org/officeDocument/2006/relationships/hyperlink" Target="https://landandmaritimeapps.dla.mil/Downloads/MilSpec/Smd/87571.pdf" TargetMode="External"/><Relationship Id="rId636" Type="http://schemas.openxmlformats.org/officeDocument/2006/relationships/hyperlink" Target="https://landandmaritimeapps.dla.mil/Downloads/MilSpec/Smd/93258.pdf" TargetMode="External"/><Relationship Id="rId1" Type="http://schemas.openxmlformats.org/officeDocument/2006/relationships/hyperlink" Target="https://www.analog.com/media/en/radiation-information/radiation-reports/AD524S_HDR_generic.pdf" TargetMode="External"/><Relationship Id="rId233" Type="http://schemas.openxmlformats.org/officeDocument/2006/relationships/hyperlink" Target="https://www.analog.com/media/en/radiation-information/radiation-reports/DDD_RH137K_Fab_Lot_10008104_1_W7_rev2.pdf" TargetMode="External"/><Relationship Id="rId440" Type="http://schemas.openxmlformats.org/officeDocument/2006/relationships/hyperlink" Target="https://www.analog.com/media/en/radiation-information/radiation-reports/rh1959mw-high-dose-rate-radiation-report.pdf" TargetMode="External"/><Relationship Id="rId678" Type="http://schemas.openxmlformats.org/officeDocument/2006/relationships/hyperlink" Target="https://www.analog.com/media/en/radiation-information/radiation-reports/AD584S_HDR_generic.pdf" TargetMode="External"/><Relationship Id="rId28" Type="http://schemas.openxmlformats.org/officeDocument/2006/relationships/hyperlink" Target="https://www.analog.com/media/en/radiation-information/radiation-reports/AD8346S_HDR_generic.pdf" TargetMode="External"/><Relationship Id="rId275" Type="http://schemas.openxmlformats.org/officeDocument/2006/relationships/hyperlink" Target="https://www.analog.com/media/en/radiation-information/radiation-reports/RLAT_200K_Report_RH1086MK_Fab_Lot_W10913024.1_W23.pdf" TargetMode="External"/><Relationship Id="rId300" Type="http://schemas.openxmlformats.org/officeDocument/2006/relationships/hyperlink" Target="https://www.analog.com/media/en/radiation-information/radiation-reports/ADH987S_HDR_generic.pdf" TargetMode="External"/><Relationship Id="rId482" Type="http://schemas.openxmlformats.org/officeDocument/2006/relationships/hyperlink" Target="https://landandmaritimeapps.dla.mil/Downloads/MilSpec/Smd/88721.pdf" TargetMode="External"/><Relationship Id="rId538" Type="http://schemas.openxmlformats.org/officeDocument/2006/relationships/hyperlink" Target="https://landandmaritimeapps.dla.mil/Downloads/MilSpec/Smd/98639.pdf" TargetMode="External"/><Relationship Id="rId703" Type="http://schemas.openxmlformats.org/officeDocument/2006/relationships/hyperlink" Target="https://www.analog.com/media/en/radiation-information/radiation-reports/REF43S_HDR_generic.pdf" TargetMode="External"/><Relationship Id="rId745" Type="http://schemas.openxmlformats.org/officeDocument/2006/relationships/hyperlink" Target="https://www.analog.com/media/en/radiation-information/radiation-reports/op77-hdr.pdf" TargetMode="External"/><Relationship Id="rId81" Type="http://schemas.openxmlformats.org/officeDocument/2006/relationships/hyperlink" Target="https://www.analog.com/media/en/radiation-information/radiation-reports/OP07S_HDR_generic.pdf" TargetMode="External"/><Relationship Id="rId135" Type="http://schemas.openxmlformats.org/officeDocument/2006/relationships/hyperlink" Target="https://www.analog.com/media/en/radiation-information/radiation-reports/OP471S_HDR_generic.pdf" TargetMode="External"/><Relationship Id="rId177" Type="http://schemas.openxmlformats.org/officeDocument/2006/relationships/hyperlink" Target="https://www.analog.com/media/en/radiation-information/radiation-reports/SEE_Test_Report_RH1011.pdf" TargetMode="External"/><Relationship Id="rId342" Type="http://schemas.openxmlformats.org/officeDocument/2006/relationships/hyperlink" Target="https://www.analog.com/media/en/technical-documentation/data-sheets/hmc8413-csl.pdf" TargetMode="External"/><Relationship Id="rId384" Type="http://schemas.openxmlformats.org/officeDocument/2006/relationships/hyperlink" Target="https://www.analog.com/media/en/radiation-information/radiation-reports/adh365s-hdr.pdf" TargetMode="External"/><Relationship Id="rId591" Type="http://schemas.openxmlformats.org/officeDocument/2006/relationships/hyperlink" Target="https://landandmaritimeapps.dla.mil/Downloads/MilSpec/Smd/88538.pdf" TargetMode="External"/><Relationship Id="rId605" Type="http://schemas.openxmlformats.org/officeDocument/2006/relationships/hyperlink" Target="https://landandmaritimeapps.dla.mil/Downloads/MilSpec/Smd/88721.pdf" TargetMode="External"/><Relationship Id="rId202" Type="http://schemas.openxmlformats.org/officeDocument/2006/relationships/hyperlink" Target="https://www.analog.com/media/en/radiation-information/radiation-reports/ad9694s_highdoseradiation_report.pdf" TargetMode="External"/><Relationship Id="rId244" Type="http://schemas.openxmlformats.org/officeDocument/2006/relationships/hyperlink" Target="https://www.analog.com/media/en/radiation-information/radiation-reports/RH3083_SEE_Test_Report_Final.pdf" TargetMode="External"/><Relationship Id="rId647" Type="http://schemas.openxmlformats.org/officeDocument/2006/relationships/hyperlink" Target="https://www.analog.com/media/en/radiation-information/radiation-reports/ad9361_heavy_ion_see_test_report_final.pdf" TargetMode="External"/><Relationship Id="rId689" Type="http://schemas.openxmlformats.org/officeDocument/2006/relationships/hyperlink" Target="https://www.analog.com/media/en/radiation-information/radiation-reports/op37-hdr.pdf" TargetMode="External"/><Relationship Id="rId39" Type="http://schemas.openxmlformats.org/officeDocument/2006/relationships/hyperlink" Target="https://www.analog.com/media/en/radiation-information/radiation-reports/AD8629S_HDR_generic.pdf" TargetMode="External"/><Relationship Id="rId286" Type="http://schemas.openxmlformats.org/officeDocument/2006/relationships/hyperlink" Target="https://www.analog.com/media/en/radiation-information/radiation-reports/AD768S_HDR_generic.pdf" TargetMode="External"/><Relationship Id="rId451" Type="http://schemas.openxmlformats.org/officeDocument/2006/relationships/hyperlink" Target="https://www.analog.com/media/en/radiation-information/radiation-reports/adl8120-csl-radiation-report.pdf" TargetMode="External"/><Relationship Id="rId493" Type="http://schemas.openxmlformats.org/officeDocument/2006/relationships/hyperlink" Target="https://landandmaritimeapps.dla.mil/Downloads/MilSpec/Smd/97535.pdf" TargetMode="External"/><Relationship Id="rId507" Type="http://schemas.openxmlformats.org/officeDocument/2006/relationships/hyperlink" Target="https://landandmaritimeapps.dla.mil/Downloads/MilSpec/Smd/13245.pdf" TargetMode="External"/><Relationship Id="rId549" Type="http://schemas.openxmlformats.org/officeDocument/2006/relationships/hyperlink" Target="https://landandmaritimeapps.dla.mil/Downloads/MilSpec/Smd/08201.pdf" TargetMode="External"/><Relationship Id="rId714" Type="http://schemas.openxmlformats.org/officeDocument/2006/relationships/hyperlink" Target="https://www.analog.com/media/en/radiation-information/radiation-reports/RLAT_200K_Report_RH1021CMH-10_Fab_Lot_WP002452.1_W5.pdf" TargetMode="External"/><Relationship Id="rId756" Type="http://schemas.openxmlformats.org/officeDocument/2006/relationships/printerSettings" Target="../printerSettings/printerSettings1.bin"/><Relationship Id="rId50" Type="http://schemas.openxmlformats.org/officeDocument/2006/relationships/hyperlink" Target="https://www.analog.com/media/en/radiation-information/radiation-reports/ADA4084-2S_HDR_generic.pdf" TargetMode="External"/><Relationship Id="rId104" Type="http://schemas.openxmlformats.org/officeDocument/2006/relationships/hyperlink" Target="https://www.analog.com/media/en/radiation-information/radiation-reports/OP27S_HDR_generic.pdf" TargetMode="External"/><Relationship Id="rId146" Type="http://schemas.openxmlformats.org/officeDocument/2006/relationships/hyperlink" Target="https://www.analog.com/media/en/radiation-information/radiation-reports/PM155S_HDR_generic.pdf" TargetMode="External"/><Relationship Id="rId188" Type="http://schemas.openxmlformats.org/officeDocument/2006/relationships/hyperlink" Target="https://www.analog.com/media/en/radiation-information/radiation-reports/SEE_Test_Report_RH1498.pdf" TargetMode="External"/><Relationship Id="rId311" Type="http://schemas.openxmlformats.org/officeDocument/2006/relationships/hyperlink" Target="https://www.analog.com/media/en/radiation-information/radiation-reports/RLAT%20Report_RH1034-1.2_Fab%20Lot%20WD003263.1.pdf" TargetMode="External"/><Relationship Id="rId353" Type="http://schemas.openxmlformats.org/officeDocument/2006/relationships/hyperlink" Target="https://www.analog.com/media/en/radiation-information/radiation-reports/ad8041-hdr.pdf" TargetMode="External"/><Relationship Id="rId395" Type="http://schemas.openxmlformats.org/officeDocument/2006/relationships/hyperlink" Target="https://www.analog.com/media/en/technical-documentation/controlled-drawings/sid000038b-adh311s.pdf" TargetMode="External"/><Relationship Id="rId409" Type="http://schemas.openxmlformats.org/officeDocument/2006/relationships/hyperlink" Target="https://www.analog.com/media/en/technical-documentation/controlled-drawings/sid000072a-adh739s.pdf" TargetMode="External"/><Relationship Id="rId560" Type="http://schemas.openxmlformats.org/officeDocument/2006/relationships/hyperlink" Target="https://landandmaritimeapps.dla.mil/Downloads/MilSpec/Smd/13250.pdf" TargetMode="External"/><Relationship Id="rId92" Type="http://schemas.openxmlformats.org/officeDocument/2006/relationships/hyperlink" Target="https://www.analog.com/media/en/radiation-information/radiation-reports/op215s_dd.pdf" TargetMode="External"/><Relationship Id="rId213" Type="http://schemas.openxmlformats.org/officeDocument/2006/relationships/hyperlink" Target="https://www.analog.com/media/en/radiation-information/radiation-reports/adl6010s_hdr_generic.pdf" TargetMode="External"/><Relationship Id="rId420" Type="http://schemas.openxmlformats.org/officeDocument/2006/relationships/hyperlink" Target="https://www.analog.com/media/en/technical-documentation/controlled-drawings/sid000080a-adh747s.pdf" TargetMode="External"/><Relationship Id="rId616" Type="http://schemas.openxmlformats.org/officeDocument/2006/relationships/hyperlink" Target="https://landandmaritimeapps.dla.mil/Downloads/MilSpec/Smd/89542.pdf" TargetMode="External"/><Relationship Id="rId658" Type="http://schemas.openxmlformats.org/officeDocument/2006/relationships/hyperlink" Target="https://www.analog.com/media/en/radiation-information/radiation-reports/adl8120-see-report.pdf" TargetMode="External"/><Relationship Id="rId255" Type="http://schemas.openxmlformats.org/officeDocument/2006/relationships/hyperlink" Target="https://www.analog.com/media/en/radiation-information/radiation-reports/OP07S_HDR_generic.pdf" TargetMode="External"/><Relationship Id="rId297" Type="http://schemas.openxmlformats.org/officeDocument/2006/relationships/hyperlink" Target="https://www.analog.com/media/en/radiation-information/radiation-reports/ad9176_heavy_ion_see_report_final.pdf" TargetMode="External"/><Relationship Id="rId462" Type="http://schemas.openxmlformats.org/officeDocument/2006/relationships/hyperlink" Target="https://landandmaritimeapps.dla.mil/Downloads/MilSpec/Smd/38128.pdf" TargetMode="External"/><Relationship Id="rId518" Type="http://schemas.openxmlformats.org/officeDocument/2006/relationships/hyperlink" Target="https://landandmaritimeapps.dla.mil/Downloads/MilSpec/Smd/87739.pdf" TargetMode="External"/><Relationship Id="rId725" Type="http://schemas.openxmlformats.org/officeDocument/2006/relationships/hyperlink" Target="https://www.analog.com/media/en/radiation-information/radiation-reports/adrf5048-csl-hdr-generic.pdf" TargetMode="External"/><Relationship Id="rId115" Type="http://schemas.openxmlformats.org/officeDocument/2006/relationships/hyperlink" Target="https://www.analog.com/media/en/radiation-information/radiation-reports/op27s_dd_2e12.pdf" TargetMode="External"/><Relationship Id="rId157" Type="http://schemas.openxmlformats.org/officeDocument/2006/relationships/hyperlink" Target="https://www.analog.com/media/en/radiation-information/radiation-reports/ad9213_see_test_report.pdf" TargetMode="External"/><Relationship Id="rId322" Type="http://schemas.openxmlformats.org/officeDocument/2006/relationships/hyperlink" Target="https://www.analog.com/media/en/technical-documentation/controlled-drawings/sid000033a-adh395s.pdf" TargetMode="External"/><Relationship Id="rId364" Type="http://schemas.openxmlformats.org/officeDocument/2006/relationships/hyperlink" Target="https://www.analog.com/media/en/radiation-information/radiation-reports/ada4084-2s-dd.pdf" TargetMode="External"/><Relationship Id="rId61" Type="http://schemas.openxmlformats.org/officeDocument/2006/relationships/hyperlink" Target="https://www.analog.com/media/en/radiation-information/radiation-reports/ADL5501S_LDR_generic.pdf" TargetMode="External"/><Relationship Id="rId199" Type="http://schemas.openxmlformats.org/officeDocument/2006/relationships/hyperlink" Target="https://www.analog.com/media/en/radiation-information/radiation-reports/adh8411s_see.pdf" TargetMode="External"/><Relationship Id="rId571" Type="http://schemas.openxmlformats.org/officeDocument/2006/relationships/hyperlink" Target="https://landandmaritimeapps.dla.mil/Downloads/MilSpec/Smd/38128.pdf" TargetMode="External"/><Relationship Id="rId627" Type="http://schemas.openxmlformats.org/officeDocument/2006/relationships/hyperlink" Target="https://landandmaritimeapps.dla.mil/Downloads/MilSpec/Smd/89932.pdf" TargetMode="External"/><Relationship Id="rId669" Type="http://schemas.openxmlformats.org/officeDocument/2006/relationships/hyperlink" Target="https://www.analog.com/media/en/radiation-information/radiation-reports/op11-hdr.pdf" TargetMode="External"/><Relationship Id="rId19" Type="http://schemas.openxmlformats.org/officeDocument/2006/relationships/hyperlink" Target="https://www.analog.com/media/en/radiation-information/radiation-reports/AD8210S_SEE_generic.pdf" TargetMode="External"/><Relationship Id="rId224" Type="http://schemas.openxmlformats.org/officeDocument/2006/relationships/hyperlink" Target="https://www.analog.com/media/en/radiation-information/radiation-reports/RLAT%20Report_RH1021CMH-5_Fab%20Lot%2010222458.1.pdf" TargetMode="External"/><Relationship Id="rId266" Type="http://schemas.openxmlformats.org/officeDocument/2006/relationships/hyperlink" Target="https://www.analog.com/media/en/radiation-information/radiation-reports/RLAT%20200K%20Report_RH1009MH_Fab%20Lot%20W10737659.1.pdf" TargetMode="External"/><Relationship Id="rId431" Type="http://schemas.openxmlformats.org/officeDocument/2006/relationships/hyperlink" Target="https://www.analog.com/media/en/radiation-information/radiation-reports/ada4084-4s-sel.pdf" TargetMode="External"/><Relationship Id="rId473" Type="http://schemas.openxmlformats.org/officeDocument/2006/relationships/hyperlink" Target="https://landandmaritimeapps.dla.mil/Downloads/MilSpec/Smd/88513.pdf" TargetMode="External"/><Relationship Id="rId529" Type="http://schemas.openxmlformats.org/officeDocument/2006/relationships/hyperlink" Target="https://landandmaritimeapps.dla.mil/Downloads/MilSpec/Smd/96839.pdf" TargetMode="External"/><Relationship Id="rId680" Type="http://schemas.openxmlformats.org/officeDocument/2006/relationships/hyperlink" Target="https://www.analog.com/media/en/radiation-information/radiation-reports/AD584S_HDR_generic.pdf" TargetMode="External"/><Relationship Id="rId736" Type="http://schemas.openxmlformats.org/officeDocument/2006/relationships/hyperlink" Target="https://www.analog.com/media/en/radiation-information/radiation-reports/op11-hdr.pdf" TargetMode="External"/><Relationship Id="rId30" Type="http://schemas.openxmlformats.org/officeDocument/2006/relationships/hyperlink" Target="https://www.analog.com/media/en/radiation-information/radiation-reports/AD8351S_LDR_generic.pdf" TargetMode="External"/><Relationship Id="rId126" Type="http://schemas.openxmlformats.org/officeDocument/2006/relationships/hyperlink" Target="https://www.analog.com/media/en/radiation-information/radiation-reports/op470_dd.pdf" TargetMode="External"/><Relationship Id="rId168" Type="http://schemas.openxmlformats.org/officeDocument/2006/relationships/hyperlink" Target="https://www.analog.com/media/en/radiation-information/radiation-reports/REF10S_HDR_generic.pdf" TargetMode="External"/><Relationship Id="rId333" Type="http://schemas.openxmlformats.org/officeDocument/2006/relationships/hyperlink" Target="https://www.analog.com/media/en/technical-documentation/controlled-drawings/sid000037a-adh902s.pdf" TargetMode="External"/><Relationship Id="rId540" Type="http://schemas.openxmlformats.org/officeDocument/2006/relationships/hyperlink" Target="https://landandmaritimeapps.dla.mil/Downloads/MilSpec/Smd/98639.pdf" TargetMode="External"/><Relationship Id="rId72" Type="http://schemas.openxmlformats.org/officeDocument/2006/relationships/hyperlink" Target="https://www.analog.com/media/en/radiation-information/radiation-reports/DAC08S_HDR_generic.pdf" TargetMode="External"/><Relationship Id="rId375" Type="http://schemas.openxmlformats.org/officeDocument/2006/relationships/hyperlink" Target="https://www.analog.com/media/en/radiation-information/radiation-reports/ref05-hdr.pdf" TargetMode="External"/><Relationship Id="rId582" Type="http://schemas.openxmlformats.org/officeDocument/2006/relationships/hyperlink" Target="https://landandmaritimeapps.dla.mil/Downloads/MilSpec/Smd/87571.pdf" TargetMode="External"/><Relationship Id="rId638" Type="http://schemas.openxmlformats.org/officeDocument/2006/relationships/hyperlink" Target="https://landandmaritimeapps.dla.mil/Downloads/MilSpec/Smd/94593.pdf" TargetMode="External"/><Relationship Id="rId3" Type="http://schemas.openxmlformats.org/officeDocument/2006/relationships/hyperlink" Target="https://www.analog.com/media/en/radiation-information/radiation-reports/AD590S_LDR_generic.pdf" TargetMode="External"/><Relationship Id="rId235" Type="http://schemas.openxmlformats.org/officeDocument/2006/relationships/hyperlink" Target="https://www.analog.com/media/en/radiation-information/radiation-reports/SEE_Test_Report_RH1498.pdf" TargetMode="External"/><Relationship Id="rId277" Type="http://schemas.openxmlformats.org/officeDocument/2006/relationships/hyperlink" Target="https://www.analog.com/media/en/radiation-information/radiation-reports/DDD_RH1009MW_Fab_Lot_WP1399_1_W5.pdf" TargetMode="External"/><Relationship Id="rId400" Type="http://schemas.openxmlformats.org/officeDocument/2006/relationships/hyperlink" Target="https://www.analog.com/media/en/technical-documentation/controlled-drawings/sid000059a-adh663s.pdf" TargetMode="External"/><Relationship Id="rId442" Type="http://schemas.openxmlformats.org/officeDocument/2006/relationships/hyperlink" Target="https://www.analog.com/media/en/radiation-information/radiation-reports/ad534-ldr-open-market.pdf" TargetMode="External"/><Relationship Id="rId484" Type="http://schemas.openxmlformats.org/officeDocument/2006/relationships/hyperlink" Target="https://landandmaritimeapps.dla.mil/Downloads/MilSpec/Smd/89929.pdf" TargetMode="External"/><Relationship Id="rId705" Type="http://schemas.openxmlformats.org/officeDocument/2006/relationships/hyperlink" Target="https://www.analog.com/media/en/radiation-information/radiation-reports/REF43S_HDR_generic.pdf" TargetMode="External"/><Relationship Id="rId137" Type="http://schemas.openxmlformats.org/officeDocument/2006/relationships/hyperlink" Target="https://www.analog.com/media/en/radiation-information/radiation-reports/OP484S_HDR_generic.pdf" TargetMode="External"/><Relationship Id="rId302" Type="http://schemas.openxmlformats.org/officeDocument/2006/relationships/hyperlink" Target="https://www.analog.com/media/en/radiation-information/radiation-reports/DAC08S_HDR_generic.pdf" TargetMode="External"/><Relationship Id="rId344" Type="http://schemas.openxmlformats.org/officeDocument/2006/relationships/hyperlink" Target="https://www.analog.com/media/en/radiation-information/radiation-reports/ad1671-hdr-generic.pdf" TargetMode="External"/><Relationship Id="rId691" Type="http://schemas.openxmlformats.org/officeDocument/2006/relationships/hyperlink" Target="https://www.analog.com/media/en/radiation-information/radiation-reports/OP400S_HDR_generic.pdf" TargetMode="External"/><Relationship Id="rId747" Type="http://schemas.openxmlformats.org/officeDocument/2006/relationships/hyperlink" Target="https://www.analog.com/media/en/radiation-information/radiation-reports/op77-hdr.pdf" TargetMode="External"/><Relationship Id="rId41" Type="http://schemas.openxmlformats.org/officeDocument/2006/relationships/hyperlink" Target="https://www.analog.com/media/en/radiation-information/radiation-reports/AD8671S_HDR_generic.pdf" TargetMode="External"/><Relationship Id="rId83" Type="http://schemas.openxmlformats.org/officeDocument/2006/relationships/hyperlink" Target="https://www.analog.com/media/en/radiation-information/radiation-reports/op07_dd.pdf" TargetMode="External"/><Relationship Id="rId179" Type="http://schemas.openxmlformats.org/officeDocument/2006/relationships/hyperlink" Target="https://www.analog.com/media/en/radiation-information/radiation-reports/RLAT%20200K%20Report_RH1014MW_Fab%20Lot%20W10722836%201.pdf" TargetMode="External"/><Relationship Id="rId386" Type="http://schemas.openxmlformats.org/officeDocument/2006/relationships/hyperlink" Target="https://www.analog.com/media/en/radiation-information/radiation-reports/ad667-hdr.pdf" TargetMode="External"/><Relationship Id="rId551" Type="http://schemas.openxmlformats.org/officeDocument/2006/relationships/hyperlink" Target="https://landandmaritimeapps.dla.mil/Downloads/MilSpec/Smd/09220.pdf" TargetMode="External"/><Relationship Id="rId593" Type="http://schemas.openxmlformats.org/officeDocument/2006/relationships/hyperlink" Target="https://landandmaritimeapps.dla.mil/Downloads/MilSpec/Smd/88539.pdf" TargetMode="External"/><Relationship Id="rId607" Type="http://schemas.openxmlformats.org/officeDocument/2006/relationships/hyperlink" Target="https://landandmaritimeapps.dla.mil/Downloads/MilSpec/Smd/88760.pdf" TargetMode="External"/><Relationship Id="rId649" Type="http://schemas.openxmlformats.org/officeDocument/2006/relationships/hyperlink" Target="https://www.analog.com/media/en/radiation-information/radiation-reports/AD8212S_HDR_generic.pdf" TargetMode="External"/><Relationship Id="rId190" Type="http://schemas.openxmlformats.org/officeDocument/2006/relationships/hyperlink" Target="https://www.analog.com/media/en/radiation-information/radiation-reports/SEE_Test_Report_RH1498.pdf" TargetMode="External"/><Relationship Id="rId204" Type="http://schemas.openxmlformats.org/officeDocument/2006/relationships/hyperlink" Target="https://www.analog.com/media/en/radiation-information/radiation-reports/adh8411s_csl_rad_report.pdf" TargetMode="External"/><Relationship Id="rId246" Type="http://schemas.openxmlformats.org/officeDocument/2006/relationships/hyperlink" Target="https://www.analog.com/media/en/radiation-information/radiation-reports/SEE_Test_Report_RH3845.pdf" TargetMode="External"/><Relationship Id="rId288" Type="http://schemas.openxmlformats.org/officeDocument/2006/relationships/hyperlink" Target="https://www.analog.com/media/en/radiation-information/radiation-reports/AD8182S_SEL_generic.pdf" TargetMode="External"/><Relationship Id="rId411" Type="http://schemas.openxmlformats.org/officeDocument/2006/relationships/hyperlink" Target="https://www.analog.com/media/en/technical-documentation/controlled-drawings/sid000057a-adh322s.pdf" TargetMode="External"/><Relationship Id="rId453" Type="http://schemas.openxmlformats.org/officeDocument/2006/relationships/hyperlink" Target="https://www.analog.com/media/en/technical-documentation/controlled-drawings/sid000096a-adh586s.pdf" TargetMode="External"/><Relationship Id="rId509" Type="http://schemas.openxmlformats.org/officeDocument/2006/relationships/hyperlink" Target="https://landandmaritimeapps.dla.mil/Downloads/MilSpec/Smd/14204.pdf" TargetMode="External"/><Relationship Id="rId660" Type="http://schemas.openxmlformats.org/officeDocument/2006/relationships/hyperlink" Target="https://www.analog.com/media/en/radiation-information/radiation-reports/adl8140-single-event-effects-report.pdf" TargetMode="External"/><Relationship Id="rId106" Type="http://schemas.openxmlformats.org/officeDocument/2006/relationships/hyperlink" Target="https://www.analog.com/media/en/radiation-information/radiation-reports/OP27S_HDR_generic.pdf" TargetMode="External"/><Relationship Id="rId313" Type="http://schemas.openxmlformats.org/officeDocument/2006/relationships/hyperlink" Target="https://www.analog.com/media/en/technical-documentation/data-sheets/rh1959.pdf" TargetMode="External"/><Relationship Id="rId495" Type="http://schemas.openxmlformats.org/officeDocument/2006/relationships/hyperlink" Target="https://landandmaritimeapps.dla.mil/Downloads/MilSpec/Smd/00516.pdf" TargetMode="External"/><Relationship Id="rId716" Type="http://schemas.openxmlformats.org/officeDocument/2006/relationships/hyperlink" Target="https://www.analog.com/media/en/radiation-information/radiation-reports/RLAT_200K_Report_RH1021CMH-10_Fab_Lot_WP002452.1_W5.pdf" TargetMode="External"/><Relationship Id="rId758" Type="http://schemas.openxmlformats.org/officeDocument/2006/relationships/table" Target="../tables/table1.xml"/><Relationship Id="rId10" Type="http://schemas.openxmlformats.org/officeDocument/2006/relationships/hyperlink" Target="https://www.analog.com/media/en/radiation-information/radiation-reports/AD8001S_HDR_generic.pdf" TargetMode="External"/><Relationship Id="rId52" Type="http://schemas.openxmlformats.org/officeDocument/2006/relationships/hyperlink" Target="https://www.analog.com/media/en/radiation-information/radiation-reports/ADA4084-4S_LDR_generic.pdf" TargetMode="External"/><Relationship Id="rId94" Type="http://schemas.openxmlformats.org/officeDocument/2006/relationships/hyperlink" Target="https://www.analog.com/media/en/radiation-information/radiation-reports/OP227S_HDR_generic.pdf" TargetMode="External"/><Relationship Id="rId148" Type="http://schemas.openxmlformats.org/officeDocument/2006/relationships/hyperlink" Target="https://www.analog.com/media/en/radiation-information/radiation-reports/AD574S_HDR_generic.pdf" TargetMode="External"/><Relationship Id="rId355" Type="http://schemas.openxmlformats.org/officeDocument/2006/relationships/hyperlink" Target="https://www.analog.com/media/en/radiation-information/radiation-reports/ad8229-ldr-generic.pdf" TargetMode="External"/><Relationship Id="rId397" Type="http://schemas.openxmlformats.org/officeDocument/2006/relationships/hyperlink" Target="https://www.analog.com/media/en/technical-documentation/controlled-drawings/sid000046a-adh641s-hmc8790.pdf" TargetMode="External"/><Relationship Id="rId520" Type="http://schemas.openxmlformats.org/officeDocument/2006/relationships/hyperlink" Target="https://landandmaritimeapps.dla.mil/Downloads/MilSpec/Smd/88565.pdf" TargetMode="External"/><Relationship Id="rId562" Type="http://schemas.openxmlformats.org/officeDocument/2006/relationships/hyperlink" Target="https://landandmaritimeapps.dla.mil/Downloads/MilSpec/Smd/13251.pdf" TargetMode="External"/><Relationship Id="rId618" Type="http://schemas.openxmlformats.org/officeDocument/2006/relationships/hyperlink" Target="https://landandmaritimeapps.dla.mil/Downloads/MilSpec/Smd/89543.pdf" TargetMode="External"/><Relationship Id="rId215" Type="http://schemas.openxmlformats.org/officeDocument/2006/relationships/hyperlink" Target="https://www.analog.com/media/en/radiation-information/radiation-reports/OP27S_HDR_generic.pdf" TargetMode="External"/><Relationship Id="rId257" Type="http://schemas.openxmlformats.org/officeDocument/2006/relationships/hyperlink" Target="https://www.analog.com/media/en/radiation-information/radiation-reports/ad9914s_hdr_generic.pdf" TargetMode="External"/><Relationship Id="rId422" Type="http://schemas.openxmlformats.org/officeDocument/2006/relationships/hyperlink" Target="https://www.analog.com/media/en/technical-documentation/controlled-drawings/sid000082a-adh598s.pdf" TargetMode="External"/><Relationship Id="rId464" Type="http://schemas.openxmlformats.org/officeDocument/2006/relationships/hyperlink" Target="https://landandmaritimeapps.dla.mil/Downloads/MilSpec/Smd/38128.pdf" TargetMode="External"/><Relationship Id="rId299" Type="http://schemas.openxmlformats.org/officeDocument/2006/relationships/hyperlink" Target="https://www.analog.com/media/en/radiation-information/radiation-reports/ad9914s_hdr_generic.pdf" TargetMode="External"/><Relationship Id="rId727" Type="http://schemas.openxmlformats.org/officeDocument/2006/relationships/hyperlink" Target="https://www.analog.com/media/en/radiation-information/radiation-reports/adrf5048-csl-sel-report.pdf" TargetMode="External"/><Relationship Id="rId63" Type="http://schemas.openxmlformats.org/officeDocument/2006/relationships/hyperlink" Target="https://www.analog.com/media/en/radiation-information/radiation-reports/ADL5501S_SEE_generic.pdf" TargetMode="External"/><Relationship Id="rId159" Type="http://schemas.openxmlformats.org/officeDocument/2006/relationships/hyperlink" Target="https://www.analog.com/media/en/radiation-information/radiation-reports/ADA4096_2S_SEL_Generic.pdf" TargetMode="External"/><Relationship Id="rId366" Type="http://schemas.openxmlformats.org/officeDocument/2006/relationships/hyperlink" Target="https://www.analog.com/media/en/radiation-information/radiation-reports/adf4108s-sel.pdf" TargetMode="External"/><Relationship Id="rId573" Type="http://schemas.openxmlformats.org/officeDocument/2006/relationships/hyperlink" Target="https://landandmaritimeapps.dla.mil/Downloads/MilSpec/Smd/85127.pdf" TargetMode="External"/><Relationship Id="rId226" Type="http://schemas.openxmlformats.org/officeDocument/2006/relationships/hyperlink" Target="https://www.analog.com/media/en/radiation-information/radiation-reports/RLAT%20100K%20Report_RH1078MW_Fab%20Lot%20WP1630.2.pdf" TargetMode="External"/><Relationship Id="rId433" Type="http://schemas.openxmlformats.org/officeDocument/2006/relationships/hyperlink" Target="https://www.analog.com/media/en/technical-documentation/controlled-drawings/sid000091a-adh856s.pdf" TargetMode="External"/><Relationship Id="rId640" Type="http://schemas.openxmlformats.org/officeDocument/2006/relationships/hyperlink" Target="https://landandmaritimeapps.dla.mil/Downloads/MilSpec/Smd/94680.pdf" TargetMode="External"/><Relationship Id="rId738" Type="http://schemas.openxmlformats.org/officeDocument/2006/relationships/hyperlink" Target="https://www.analog.com/media/en/radiation-information/radiation-reports/op270s_dd.pdf" TargetMode="External"/><Relationship Id="rId74" Type="http://schemas.openxmlformats.org/officeDocument/2006/relationships/hyperlink" Target="https://www.analog.com/media/en/radiation-information/radiation-reports/DAC08S_HDR_generic.pdf" TargetMode="External"/><Relationship Id="rId377" Type="http://schemas.openxmlformats.org/officeDocument/2006/relationships/hyperlink" Target="https://www.analog.com/media/en/radiation-information/radiation-reports/rh1011w-hdr.pdf" TargetMode="External"/><Relationship Id="rId500" Type="http://schemas.openxmlformats.org/officeDocument/2006/relationships/hyperlink" Target="https://landandmaritimeapps.dla.mil/Downloads/MilSpec/Smd/09223.pdf" TargetMode="External"/><Relationship Id="rId584" Type="http://schemas.openxmlformats.org/officeDocument/2006/relationships/hyperlink" Target="https://landandmaritimeapps.dla.mil/Downloads/MilSpec/Smd/87571.pdf" TargetMode="External"/><Relationship Id="rId5" Type="http://schemas.openxmlformats.org/officeDocument/2006/relationships/hyperlink" Target="https://www.analog.com/media/en/radiation-information/radiation-reports/AD590S_HDR_generic.pdf" TargetMode="External"/><Relationship Id="rId237" Type="http://schemas.openxmlformats.org/officeDocument/2006/relationships/hyperlink" Target="https://www.analog.com/media/en/radiation-information/radiation-reports/RLAT%20200K%20Report_RH1814MW_Fab%20Lot%20WF001929.pdf" TargetMode="External"/><Relationship Id="rId444" Type="http://schemas.openxmlformats.org/officeDocument/2006/relationships/hyperlink" Target="https://www.analog.com/media/en/radiation-information/radiation-reports/op77-hdr.pdf" TargetMode="External"/><Relationship Id="rId651" Type="http://schemas.openxmlformats.org/officeDocument/2006/relationships/hyperlink" Target="https://www.analog.com/media/en/radiation-information/radiation-reports/adh8412s-csl-hdr-generic.pdf" TargetMode="External"/><Relationship Id="rId749" Type="http://schemas.openxmlformats.org/officeDocument/2006/relationships/hyperlink" Target="https://www.analog.com/media/en/radiation-information/radiation-reports/rh5596-heavy-ion-test-report.pdf" TargetMode="External"/><Relationship Id="rId290" Type="http://schemas.openxmlformats.org/officeDocument/2006/relationships/hyperlink" Target="https://www.analog.com/media/en/radiation-information/radiation-reports/AD8182S_HDR_Generic.pdf" TargetMode="External"/><Relationship Id="rId304" Type="http://schemas.openxmlformats.org/officeDocument/2006/relationships/hyperlink" Target="https://www.analog.com/media/en/radiation-information/radiation-reports/op07_dd.pdf" TargetMode="External"/><Relationship Id="rId388" Type="http://schemas.openxmlformats.org/officeDocument/2006/relationships/hyperlink" Target="https://www.analog.com/media/en/radiation-information/radiation-reports/ad648-ldr.pdf" TargetMode="External"/><Relationship Id="rId511" Type="http://schemas.openxmlformats.org/officeDocument/2006/relationships/hyperlink" Target="https://landandmaritimeapps.dla.mil/Downloads/MilSpec/Smd/14206.pdf" TargetMode="External"/><Relationship Id="rId609" Type="http://schemas.openxmlformats.org/officeDocument/2006/relationships/hyperlink" Target="https://landandmaritimeapps.dla.mil/Downloads/MilSpec/Smd/88762.pdf" TargetMode="External"/><Relationship Id="rId85" Type="http://schemas.openxmlformats.org/officeDocument/2006/relationships/hyperlink" Target="https://www.analog.com/media/en/radiation-information/radiation-reports/op07_dd.pdf" TargetMode="External"/><Relationship Id="rId150" Type="http://schemas.openxmlformats.org/officeDocument/2006/relationships/hyperlink" Target="https://www.analog.com/media/en/radiation-information/radiation-reports/AD574S_HDR_generic.pdf" TargetMode="External"/><Relationship Id="rId595" Type="http://schemas.openxmlformats.org/officeDocument/2006/relationships/hyperlink" Target="https://landandmaritimeapps.dla.mil/Downloads/MilSpec/Smd/88565.pdf" TargetMode="External"/><Relationship Id="rId248" Type="http://schemas.openxmlformats.org/officeDocument/2006/relationships/hyperlink" Target="https://www.analog.com/media/en/radiation-information/radiation-reports/rh5596-heavy-ion-test-report.pdf" TargetMode="External"/><Relationship Id="rId455" Type="http://schemas.openxmlformats.org/officeDocument/2006/relationships/hyperlink" Target="https://www.analog.com/media/en/technical-documentation/data-sheets/adrf6780s-csl.pdf" TargetMode="External"/><Relationship Id="rId662" Type="http://schemas.openxmlformats.org/officeDocument/2006/relationships/hyperlink" Target="https://www.analog.com/media/en/radiation-information/radiation-reports/adrf6780s-single-event-effects-report.pdf" TargetMode="External"/><Relationship Id="rId12" Type="http://schemas.openxmlformats.org/officeDocument/2006/relationships/hyperlink" Target="https://www.analog.com/media/en/radiation-information/radiation-reports/AD8041S_LDR_generic.pdf" TargetMode="External"/><Relationship Id="rId108" Type="http://schemas.openxmlformats.org/officeDocument/2006/relationships/hyperlink" Target="https://www.analog.com/media/en/radiation-information/radiation-reports/OP27S_HDR_generic.pdf" TargetMode="External"/><Relationship Id="rId315" Type="http://schemas.openxmlformats.org/officeDocument/2006/relationships/hyperlink" Target="https://www.analog.com/media/en/technical-documentation/data-sheets/RH1959M_DICE_DWF.pdf" TargetMode="External"/><Relationship Id="rId522" Type="http://schemas.openxmlformats.org/officeDocument/2006/relationships/hyperlink" Target="https://landandmaritimeapps.dla.mil/Downloads/MilSpec/Smd/88721.pdf" TargetMode="External"/><Relationship Id="rId96" Type="http://schemas.openxmlformats.org/officeDocument/2006/relationships/hyperlink" Target="https://www.analog.com/media/en/radiation-information/radiation-reports/OP270S_HDR_generic.pdf" TargetMode="External"/><Relationship Id="rId161" Type="http://schemas.openxmlformats.org/officeDocument/2006/relationships/hyperlink" Target="https://www.analog.com/media/en/radiation-information/radiation-reports/ADA4096-2S_HDR_generic.pdf" TargetMode="External"/><Relationship Id="rId399" Type="http://schemas.openxmlformats.org/officeDocument/2006/relationships/hyperlink" Target="https://www.analog.com/media/en/technical-documentation/controlled-drawings/sid000058a-adh292s.pdf" TargetMode="External"/><Relationship Id="rId259" Type="http://schemas.openxmlformats.org/officeDocument/2006/relationships/hyperlink" Target="https://www.analog.com/media/en/radiation-information/radiation-reports/RLAT%20200K%20Report_RH1498MW_Fab%20Lot%20W10737593%20W20.pdf" TargetMode="External"/><Relationship Id="rId466" Type="http://schemas.openxmlformats.org/officeDocument/2006/relationships/hyperlink" Target="https://landandmaritimeapps.dla.mil/Downloads/MilSpec/Smd/87738.pdf" TargetMode="External"/><Relationship Id="rId673" Type="http://schemas.openxmlformats.org/officeDocument/2006/relationships/hyperlink" Target="https://www.analog.com/media/en/radiation-information/radiation-reports/amp01s-hdr.pdf" TargetMode="External"/><Relationship Id="rId23" Type="http://schemas.openxmlformats.org/officeDocument/2006/relationships/hyperlink" Target="https://www.analog.com/media/en/radiation-information/radiation-reports/AD8229S_HDR_generic.pdf" TargetMode="External"/><Relationship Id="rId119" Type="http://schemas.openxmlformats.org/officeDocument/2006/relationships/hyperlink" Target="https://www.analog.com/media/en/radiation-information/radiation-reports/op27s_dd_2e12.pdf" TargetMode="External"/><Relationship Id="rId326" Type="http://schemas.openxmlformats.org/officeDocument/2006/relationships/hyperlink" Target="https://www.analog.com/media/en/technical-documentation/controlled-drawings/sid000012a-adh564s.pdf" TargetMode="External"/><Relationship Id="rId533" Type="http://schemas.openxmlformats.org/officeDocument/2006/relationships/hyperlink" Target="https://landandmaritimeapps.dla.mil/Downloads/MilSpec/Smd/00516.pdf" TargetMode="External"/><Relationship Id="rId740" Type="http://schemas.openxmlformats.org/officeDocument/2006/relationships/hyperlink" Target="https://www.analog.com/media/en/radiation-information/radiation-reports/RLAT%20Report_RH1021CMH-5_Fab%20Lot%2010222458.1.pdf" TargetMode="External"/><Relationship Id="rId172" Type="http://schemas.openxmlformats.org/officeDocument/2006/relationships/hyperlink" Target="https://www.analog.com/media/en/radiation-information/radiation-reports/ref43s_dd_2e12.pdf" TargetMode="External"/><Relationship Id="rId477" Type="http://schemas.openxmlformats.org/officeDocument/2006/relationships/hyperlink" Target="https://landandmaritimeapps.dla.mil/Downloads/MilSpec/Smd/88565.pdf" TargetMode="External"/><Relationship Id="rId600" Type="http://schemas.openxmlformats.org/officeDocument/2006/relationships/hyperlink" Target="https://landandmaritimeapps.dla.mil/Downloads/MilSpec/Smd/88600.pdf" TargetMode="External"/><Relationship Id="rId684" Type="http://schemas.openxmlformats.org/officeDocument/2006/relationships/hyperlink" Target="https://www.analog.com/media/en/radiation-information/radiation-reports/ad648-ldr.pdf" TargetMode="External"/><Relationship Id="rId337" Type="http://schemas.openxmlformats.org/officeDocument/2006/relationships/hyperlink" Target="https://www.analog.com/media/en/technical-documentation/controlled-drawings/sid000035a-adh-alh444s.pdf" TargetMode="External"/><Relationship Id="rId34" Type="http://schemas.openxmlformats.org/officeDocument/2006/relationships/hyperlink" Target="https://www.analog.com/media/en/radiation-information/radiation-reports/AD8367S_HDR_generic.pdf" TargetMode="External"/><Relationship Id="rId544" Type="http://schemas.openxmlformats.org/officeDocument/2006/relationships/hyperlink" Target="https://landandmaritimeapps.dla.mil/Downloads/MilSpec/Smd/98636.pdf" TargetMode="External"/><Relationship Id="rId751" Type="http://schemas.openxmlformats.org/officeDocument/2006/relationships/hyperlink" Target="https://www.analog.com/media/en/radiation-information/radiation-reports/rh5596_hdr_generic.pdf" TargetMode="External"/><Relationship Id="rId183" Type="http://schemas.openxmlformats.org/officeDocument/2006/relationships/hyperlink" Target="https://www.analog.com/media/en/radiation-information/radiation-reports/RLAT%20200K%20Report_RH1056AMW_Fab%20Lot%2010217302.1.pdf" TargetMode="External"/><Relationship Id="rId390" Type="http://schemas.openxmlformats.org/officeDocument/2006/relationships/hyperlink" Target="https://www.analog.com/media/en/technical-documentation/controlled-drawings/sid000047a-adh641s-hmc8261lh5.pdf" TargetMode="External"/><Relationship Id="rId404" Type="http://schemas.openxmlformats.org/officeDocument/2006/relationships/hyperlink" Target="https://www.analog.com/media/en/technical-documentation/controlled-drawings/sid000063a-adh986s.pdf" TargetMode="External"/><Relationship Id="rId611" Type="http://schemas.openxmlformats.org/officeDocument/2006/relationships/hyperlink" Target="https://landandmaritimeapps.dla.mil/Downloads/MilSpec/Smd/88762.pdf" TargetMode="External"/><Relationship Id="rId250" Type="http://schemas.openxmlformats.org/officeDocument/2006/relationships/hyperlink" Target="https://www.analog.com/media/en/radiation-information/radiation-reports/AD524S_HDR_generic.pdf" TargetMode="External"/><Relationship Id="rId488" Type="http://schemas.openxmlformats.org/officeDocument/2006/relationships/hyperlink" Target="https://landandmaritimeapps.dla.mil/Downloads/MilSpec/Smd/96892.pdf" TargetMode="External"/><Relationship Id="rId695" Type="http://schemas.openxmlformats.org/officeDocument/2006/relationships/hyperlink" Target="https://www.analog.com/media/en/radiation-information/radiation-reports/OP400S_HDR_generic.pdf" TargetMode="External"/><Relationship Id="rId709" Type="http://schemas.openxmlformats.org/officeDocument/2006/relationships/hyperlink" Target="https://www.analog.com/media/en/radiation-information/radiation-reports/REF02S_HDR_generic.pdf" TargetMode="External"/><Relationship Id="rId45" Type="http://schemas.openxmlformats.org/officeDocument/2006/relationships/hyperlink" Target="https://www.analog.com/media/en/radiation-information/radiation-reports/AD9254S_HDR_generic.pdf" TargetMode="External"/><Relationship Id="rId110" Type="http://schemas.openxmlformats.org/officeDocument/2006/relationships/hyperlink" Target="https://www.analog.com/media/en/radiation-information/radiation-reports/OP27S_HDR_generic.pdf" TargetMode="External"/><Relationship Id="rId348" Type="http://schemas.openxmlformats.org/officeDocument/2006/relationships/hyperlink" Target="https://www.analog.com/media/en/radiation-information/radiation-reports/ad670-hdr.pdf" TargetMode="External"/><Relationship Id="rId555" Type="http://schemas.openxmlformats.org/officeDocument/2006/relationships/hyperlink" Target="https://landandmaritimeapps.dla.mil/Downloads/MilSpec/Smd/11203.pdf" TargetMode="External"/><Relationship Id="rId194" Type="http://schemas.openxmlformats.org/officeDocument/2006/relationships/hyperlink" Target="https://www.analog.com/media/en/radiation-information/radiation-reports/RH6105%20Heavy%20Ion%20Test%20Report.pdf" TargetMode="External"/><Relationship Id="rId208" Type="http://schemas.openxmlformats.org/officeDocument/2006/relationships/hyperlink" Target="https://www.analog.com/media/en/radiation-information/radiation-reports/adlt2852s-csl-hdr.pdf" TargetMode="External"/><Relationship Id="rId415" Type="http://schemas.openxmlformats.org/officeDocument/2006/relationships/hyperlink" Target="https://www.analog.com/media/en/technical-documentation/controlled-drawings/sid000083a-adh985s.pdf" TargetMode="External"/><Relationship Id="rId622" Type="http://schemas.openxmlformats.org/officeDocument/2006/relationships/hyperlink" Target="https://landandmaritimeapps.dla.mil/Downloads/MilSpec/Smd/89610.pdf" TargetMode="External"/><Relationship Id="rId261" Type="http://schemas.openxmlformats.org/officeDocument/2006/relationships/hyperlink" Target="https://www.analog.com/media/en/radiation-information/radiation-reports/hdr_rh6105mw-generic-rad-report.pdf" TargetMode="External"/><Relationship Id="rId499" Type="http://schemas.openxmlformats.org/officeDocument/2006/relationships/hyperlink" Target="https://landandmaritimeapps.dla.mil/Downloads/MilSpec/Smd/09220.pdf" TargetMode="External"/><Relationship Id="rId56" Type="http://schemas.openxmlformats.org/officeDocument/2006/relationships/hyperlink" Target="https://www.analog.com/media/en/radiation-information/radiation-reports/ADF4108S_LDR_generic.pdf" TargetMode="External"/><Relationship Id="rId359" Type="http://schemas.openxmlformats.org/officeDocument/2006/relationships/hyperlink" Target="https://www.analog.com/media/en/radiation-information/radiation-reports/ad9731s-hdr.pdf" TargetMode="External"/><Relationship Id="rId566" Type="http://schemas.openxmlformats.org/officeDocument/2006/relationships/hyperlink" Target="https://landandmaritimeapps.dla.mil/Downloads/MilSpec/Smd/14227.pdf" TargetMode="External"/><Relationship Id="rId121" Type="http://schemas.openxmlformats.org/officeDocument/2006/relationships/hyperlink" Target="https://www.analog.com/media/en/radiation-information/radiation-reports/OP400S_LDR_generic.pdf" TargetMode="External"/><Relationship Id="rId219" Type="http://schemas.openxmlformats.org/officeDocument/2006/relationships/hyperlink" Target="https://www.analog.com/media/en/radiation-information/radiation-reports/op484_dd_2e12.pdf" TargetMode="External"/><Relationship Id="rId426" Type="http://schemas.openxmlformats.org/officeDocument/2006/relationships/hyperlink" Target="https://www.analog.com/media/en/radiation-information/radiation-reports/adrf6780s-csh-tid-hdr-generic.pdf" TargetMode="External"/><Relationship Id="rId633" Type="http://schemas.openxmlformats.org/officeDocument/2006/relationships/hyperlink" Target="https://landandmaritimeapps.dla.mil/Downloads/MilSpec/Smd/89981.pdf" TargetMode="External"/><Relationship Id="rId67" Type="http://schemas.openxmlformats.org/officeDocument/2006/relationships/hyperlink" Target="https://www.analog.com/media/en/radiation-information/radiation-reports/adum3190s_hdr_generic.pdf" TargetMode="External"/><Relationship Id="rId272" Type="http://schemas.openxmlformats.org/officeDocument/2006/relationships/hyperlink" Target="https://www.analog.com/media/en/radiation-information/radiation-reports/RLAT%20Report_RH27CW_Fab%20Lot%2010223511.1.pdf" TargetMode="External"/><Relationship Id="rId577" Type="http://schemas.openxmlformats.org/officeDocument/2006/relationships/hyperlink" Target="https://landandmaritimeapps.dla.mil/Downloads/MilSpec/Smd/85514.pdf" TargetMode="External"/><Relationship Id="rId700" Type="http://schemas.openxmlformats.org/officeDocument/2006/relationships/hyperlink" Target="https://www.analog.com/media/en/radiation-information/radiation-reports/PM108S_HDR_generic.pdf" TargetMode="External"/><Relationship Id="rId132" Type="http://schemas.openxmlformats.org/officeDocument/2006/relationships/hyperlink" Target="https://www.analog.com/media/en/radiation-information/radiation-reports/OP470S_HDR_generic.pdf" TargetMode="External"/><Relationship Id="rId437" Type="http://schemas.openxmlformats.org/officeDocument/2006/relationships/hyperlink" Target="https://www.analog.com/media/en/technical-documentation/controlled-drawings/sid000089a-adh573s.pdf" TargetMode="External"/><Relationship Id="rId644" Type="http://schemas.openxmlformats.org/officeDocument/2006/relationships/hyperlink" Target="https://landandmaritimeapps.dla.mil/Downloads/MilSpec/Smd/96839.pdf" TargetMode="External"/><Relationship Id="rId283" Type="http://schemas.openxmlformats.org/officeDocument/2006/relationships/hyperlink" Target="https://www.analog.com/media/en/radiation-information/radiation-reports/adl8142s_hdr.pdf" TargetMode="External"/><Relationship Id="rId490" Type="http://schemas.openxmlformats.org/officeDocument/2006/relationships/hyperlink" Target="https://landandmaritimeapps.dla.mil/Downloads/MilSpec/Smd/97535.pdf" TargetMode="External"/><Relationship Id="rId504" Type="http://schemas.openxmlformats.org/officeDocument/2006/relationships/hyperlink" Target="https://landandmaritimeapps.dla.mil/Downloads/MilSpec/Smd/11239.pdf" TargetMode="External"/><Relationship Id="rId711" Type="http://schemas.openxmlformats.org/officeDocument/2006/relationships/hyperlink" Target="https://www.analog.com/media/en/radiation-information/radiation-reports/REF01S_HDR_generic.pdf" TargetMode="External"/><Relationship Id="rId78" Type="http://schemas.openxmlformats.org/officeDocument/2006/relationships/hyperlink" Target="https://www.analog.com/media/en/radiation-information/radiation-reports/ADuM7442S_HDR_generic.pdf" TargetMode="External"/><Relationship Id="rId143" Type="http://schemas.openxmlformats.org/officeDocument/2006/relationships/hyperlink" Target="https://www.analog.com/media/en/radiation-information/radiation-reports/PM139S_LDR_generic.pdf" TargetMode="External"/><Relationship Id="rId350" Type="http://schemas.openxmlformats.org/officeDocument/2006/relationships/hyperlink" Target="https://www.analog.com/media/en/radiation-information/radiation-reports/ad8001-seu.pdf" TargetMode="External"/><Relationship Id="rId588" Type="http://schemas.openxmlformats.org/officeDocument/2006/relationships/hyperlink" Target="https://landandmaritimeapps.dla.mil/Downloads/MilSpec/Smd/87771.pdf" TargetMode="External"/><Relationship Id="rId9" Type="http://schemas.openxmlformats.org/officeDocument/2006/relationships/hyperlink" Target="https://www.analog.com/media/en/radiation-information/radiation-reports/AD768S_SEL_generic.pdf" TargetMode="External"/><Relationship Id="rId210" Type="http://schemas.openxmlformats.org/officeDocument/2006/relationships/hyperlink" Target="https://www.analog.com/media/en/radiation-information/radiation-reports/ad585_dd.pdf" TargetMode="External"/><Relationship Id="rId448" Type="http://schemas.openxmlformats.org/officeDocument/2006/relationships/hyperlink" Target="https://www.analog.com/media/en/technical-documentation/data-sheets/adl8143-csl.pdf" TargetMode="External"/><Relationship Id="rId655" Type="http://schemas.openxmlformats.org/officeDocument/2006/relationships/hyperlink" Target="https://www.analog.com/media/en/radiation-information/radiation-reports/adh8412-dd-radiation-report.pdf" TargetMode="External"/><Relationship Id="rId294" Type="http://schemas.openxmlformats.org/officeDocument/2006/relationships/hyperlink" Target="https://www.analog.com/media/en/radiation-information/radiation-reports/AD8306S_SEL_generic.pdf" TargetMode="External"/><Relationship Id="rId308" Type="http://schemas.openxmlformats.org/officeDocument/2006/relationships/hyperlink" Target="https://www.analog.com/media/en/radiation-information/radiation-reports/PM156S_HDR_generic.pdf" TargetMode="External"/><Relationship Id="rId515" Type="http://schemas.openxmlformats.org/officeDocument/2006/relationships/hyperlink" Target="https://landandmaritimeapps.dla.mil/Downloads/MilSpec/Smd/38128.pdf" TargetMode="External"/><Relationship Id="rId722" Type="http://schemas.openxmlformats.org/officeDocument/2006/relationships/hyperlink" Target="https://www.analog.com/media/en/radiation-information/radiation-reports/adrf5022-hdr.pdf" TargetMode="External"/><Relationship Id="rId89" Type="http://schemas.openxmlformats.org/officeDocument/2006/relationships/hyperlink" Target="https://www.analog.com/media/en/radiation-information/radiation-reports/OP16S_HDR_generic.pdf" TargetMode="External"/><Relationship Id="rId154" Type="http://schemas.openxmlformats.org/officeDocument/2006/relationships/hyperlink" Target="https://www.analog.com/media/en/radiation-information/radiation-reports/AD574S_SEL_generic.pdf" TargetMode="External"/><Relationship Id="rId361" Type="http://schemas.openxmlformats.org/officeDocument/2006/relationships/hyperlink" Target="https://www.analog.com/media/en/radiation-information/radiation-reports/ad9731s-hdr.pdf" TargetMode="External"/><Relationship Id="rId599" Type="http://schemas.openxmlformats.org/officeDocument/2006/relationships/hyperlink" Target="https://landandmaritimeapps.dla.mil/Downloads/MilSpec/Smd/88565.pdf" TargetMode="External"/><Relationship Id="rId459" Type="http://schemas.openxmlformats.org/officeDocument/2006/relationships/hyperlink" Target="https://landandmaritimeapps.dla.mil/Downloads/MilSpec/Smd/00515.pdf" TargetMode="External"/><Relationship Id="rId666" Type="http://schemas.openxmlformats.org/officeDocument/2006/relationships/hyperlink" Target="https://www.analog.com/media/en/technical-documentation/data-sheets/rh3083mw.pdf" TargetMode="External"/><Relationship Id="rId16" Type="http://schemas.openxmlformats.org/officeDocument/2006/relationships/hyperlink" Target="https://www.analog.com/media/en/radiation-information/radiation-reports/AD8182S_SEL_generic.pdf" TargetMode="External"/><Relationship Id="rId221" Type="http://schemas.openxmlformats.org/officeDocument/2006/relationships/hyperlink" Target="https://www.analog.com/media/en/radiation-information/radiation-reports/RLAT%20200K%20Report_RH1016MW_Fab%20Lot%20WD003520%202.pdf" TargetMode="External"/><Relationship Id="rId319" Type="http://schemas.openxmlformats.org/officeDocument/2006/relationships/hyperlink" Target="https://www.analog.com/media/en/technical-documentation/controlled-drawings/sid000017a-adh1048as.pdf" TargetMode="External"/><Relationship Id="rId526" Type="http://schemas.openxmlformats.org/officeDocument/2006/relationships/hyperlink" Target="https://landandmaritimeapps.dla.mil/Downloads/MilSpec/Smd/90603.pdf" TargetMode="External"/><Relationship Id="rId733" Type="http://schemas.openxmlformats.org/officeDocument/2006/relationships/hyperlink" Target="https://www.analog.com/media/en/radiation-information/radiation-reports/adrf5144-csl-sel-report.pdf" TargetMode="External"/><Relationship Id="rId165" Type="http://schemas.openxmlformats.org/officeDocument/2006/relationships/hyperlink" Target="https://www.analog.com/media/en/radiation-information/radiation-reports/REF02S_LDR_generic.pdf" TargetMode="External"/><Relationship Id="rId372" Type="http://schemas.openxmlformats.org/officeDocument/2006/relationships/hyperlink" Target="https://www.analog.com/media/en/radiation-information/radiation-reports/pm111-hdr.pdf" TargetMode="External"/><Relationship Id="rId677" Type="http://schemas.openxmlformats.org/officeDocument/2006/relationships/hyperlink" Target="https://www.analog.com/media/en/radiation-information/radiation-reports/ad571-hdr.pdf" TargetMode="External"/><Relationship Id="rId232" Type="http://schemas.openxmlformats.org/officeDocument/2006/relationships/hyperlink" Target="https://www.analog.com/media/en/radiation-information/radiation-reports/RLAT%20200K%20Report_RH137H_Fab%20Lot%20W10641855%201.pdf" TargetMode="External"/><Relationship Id="rId27" Type="http://schemas.openxmlformats.org/officeDocument/2006/relationships/hyperlink" Target="https://www.analog.com/media/en/radiation-information/radiation-reports/AD8346S_LDR_Generic.pdf" TargetMode="External"/><Relationship Id="rId537" Type="http://schemas.openxmlformats.org/officeDocument/2006/relationships/hyperlink" Target="https://landandmaritimeapps.dla.mil/Downloads/MilSpec/Smd/98646.pdf" TargetMode="External"/><Relationship Id="rId744" Type="http://schemas.openxmlformats.org/officeDocument/2006/relationships/hyperlink" Target="https://www.analog.com/media/en/radiation-information/radiation-reports/op484_dd_2e12.pdf" TargetMode="External"/><Relationship Id="rId80" Type="http://schemas.openxmlformats.org/officeDocument/2006/relationships/hyperlink" Target="https://www.analog.com/media/en/radiation-information/radiation-reports/OP07S_HDR_generic.pdf" TargetMode="External"/><Relationship Id="rId176" Type="http://schemas.openxmlformats.org/officeDocument/2006/relationships/hyperlink" Target="https://www.analog.com/media/en/radiation-information/radiation-reports/SEE_Test_Report_RH1011.pdf" TargetMode="External"/><Relationship Id="rId383" Type="http://schemas.openxmlformats.org/officeDocument/2006/relationships/hyperlink" Target="https://www.analog.com/media/en/radiation-information/radiation-reports/adh363s-hdr.pdf" TargetMode="External"/><Relationship Id="rId590" Type="http://schemas.openxmlformats.org/officeDocument/2006/relationships/hyperlink" Target="https://landandmaritimeapps.dla.mil/Downloads/MilSpec/Smd/88538.pdf" TargetMode="External"/><Relationship Id="rId604" Type="http://schemas.openxmlformats.org/officeDocument/2006/relationships/hyperlink" Target="https://landandmaritimeapps.dla.mil/Downloads/MilSpec/Smd/88721.pdf" TargetMode="External"/><Relationship Id="rId243" Type="http://schemas.openxmlformats.org/officeDocument/2006/relationships/hyperlink" Target="https://www.analog.com/media/en/radiation-information/radiation-reports/RLAT_HDR_RH3083MK_Fab_Lot_HP201682_1_W1.pdf" TargetMode="External"/><Relationship Id="rId450" Type="http://schemas.openxmlformats.org/officeDocument/2006/relationships/hyperlink" Target="https://www.analog.com/media/en/radiation-information/radiation-reports/adl8143-csl-radiation-report.pdf" TargetMode="External"/><Relationship Id="rId688" Type="http://schemas.openxmlformats.org/officeDocument/2006/relationships/hyperlink" Target="https://www.analog.com/media/en/radiation-information/radiation-reports/op37-hdr.pdf" TargetMode="External"/><Relationship Id="rId38" Type="http://schemas.openxmlformats.org/officeDocument/2006/relationships/hyperlink" Target="https://www.analog.com/media/en/radiation-information/radiation-reports/AD8561S_HDR_generic.pdf" TargetMode="External"/><Relationship Id="rId103" Type="http://schemas.openxmlformats.org/officeDocument/2006/relationships/hyperlink" Target="https://www.analog.com/media/en/radiation-information/radiation-reports/OP27S_HDR_generic.pdf" TargetMode="External"/><Relationship Id="rId310" Type="http://schemas.openxmlformats.org/officeDocument/2006/relationships/hyperlink" Target="https://www.analog.com/media/en/radiation-information/radiation-reports/ref43s_dd_2e12.pdf" TargetMode="External"/><Relationship Id="rId548" Type="http://schemas.openxmlformats.org/officeDocument/2006/relationships/hyperlink" Target="https://landandmaritimeapps.dla.mil/Downloads/MilSpec/Smd/02538.pdf" TargetMode="External"/><Relationship Id="rId755" Type="http://schemas.openxmlformats.org/officeDocument/2006/relationships/hyperlink" Target="https://www.analog.com/media/en/radiation-information/radiation-reports/adrf5730-hrd-characterization.pdf" TargetMode="External"/><Relationship Id="rId91" Type="http://schemas.openxmlformats.org/officeDocument/2006/relationships/hyperlink" Target="https://www.analog.com/media/en/radiation-information/radiation-reports/OP215S_HDR_generic.pdf" TargetMode="External"/><Relationship Id="rId187" Type="http://schemas.openxmlformats.org/officeDocument/2006/relationships/hyperlink" Target="https://www.analog.com/media/en/radiation-information/radiation-reports/SEE_Test_Report_RH1498.pdf" TargetMode="External"/><Relationship Id="rId394" Type="http://schemas.openxmlformats.org/officeDocument/2006/relationships/hyperlink" Target="https://www.analog.com/media/en/technical-documentation/controlled-drawings/sid000031b-adh392as.pdf" TargetMode="External"/><Relationship Id="rId408" Type="http://schemas.openxmlformats.org/officeDocument/2006/relationships/hyperlink" Target="https://www.analog.com/media/en/technical-documentation/controlled-drawings/sid000068a-adh520s.pdf" TargetMode="External"/><Relationship Id="rId615" Type="http://schemas.openxmlformats.org/officeDocument/2006/relationships/hyperlink" Target="https://landandmaritimeapps.dla.mil/Downloads/MilSpec/Smd/89542.pdf" TargetMode="External"/><Relationship Id="rId254" Type="http://schemas.openxmlformats.org/officeDocument/2006/relationships/hyperlink" Target="https://www.analog.com/media/en/radiation-information/radiation-reports/OP07S_HDR_generic.pdf" TargetMode="External"/><Relationship Id="rId699" Type="http://schemas.openxmlformats.org/officeDocument/2006/relationships/hyperlink" Target="https://www.analog.com/media/en/radiation-information/radiation-reports/PM108S_HDR_generic.pdf" TargetMode="External"/><Relationship Id="rId49" Type="http://schemas.openxmlformats.org/officeDocument/2006/relationships/hyperlink" Target="https://www.analog.com/media/en/radiation-information/radiation-reports/ada4077-4s_hdr.pdf" TargetMode="External"/><Relationship Id="rId114" Type="http://schemas.openxmlformats.org/officeDocument/2006/relationships/hyperlink" Target="https://www.analog.com/media/en/radiation-information/radiation-reports/op27s_dd_2e12.pdf" TargetMode="External"/><Relationship Id="rId461" Type="http://schemas.openxmlformats.org/officeDocument/2006/relationships/hyperlink" Target="https://landandmaritimeapps.dla.mil/Downloads/MilSpec/Smd/00517.pdf" TargetMode="External"/><Relationship Id="rId559" Type="http://schemas.openxmlformats.org/officeDocument/2006/relationships/hyperlink" Target="https://landandmaritimeapps.dla.mil/Downloads/MilSpec/Smd/13245.pdf" TargetMode="External"/><Relationship Id="rId198" Type="http://schemas.openxmlformats.org/officeDocument/2006/relationships/hyperlink" Target="https://www.analog.com/media/en/radiation-information/radiation-reports/adh8411s_csh_rad_report.pdf" TargetMode="External"/><Relationship Id="rId321" Type="http://schemas.openxmlformats.org/officeDocument/2006/relationships/hyperlink" Target="https://www.analog.com/media/en/technical-documentation/controlled-drawings/sid000007b-adh392s.pdf" TargetMode="External"/><Relationship Id="rId419" Type="http://schemas.openxmlformats.org/officeDocument/2006/relationships/hyperlink" Target="https://www.analog.com/media/en/technical-documentation/controlled-drawings/sid000066a-adh753s.pdf" TargetMode="External"/><Relationship Id="rId626" Type="http://schemas.openxmlformats.org/officeDocument/2006/relationships/hyperlink" Target="https://landandmaritimeapps.dla.mil/Downloads/MilSpec/Smd/89677.pdf" TargetMode="External"/><Relationship Id="rId265" Type="http://schemas.openxmlformats.org/officeDocument/2006/relationships/hyperlink" Target="https://www.analog.com/media/en/radiation-information/radiation-reports/RLAT%20200K%20Report_RH1009MH_Fab%20Lot%20W10737659.1.pdf" TargetMode="External"/><Relationship Id="rId472" Type="http://schemas.openxmlformats.org/officeDocument/2006/relationships/hyperlink" Target="https://landandmaritimeapps.dla.mil/Downloads/MilSpec/Smd/87771.pdf" TargetMode="External"/><Relationship Id="rId125" Type="http://schemas.openxmlformats.org/officeDocument/2006/relationships/hyperlink" Target="https://www.analog.com/media/en/radiation-information/radiation-reports/op470_dd.pdf" TargetMode="External"/><Relationship Id="rId332" Type="http://schemas.openxmlformats.org/officeDocument/2006/relationships/hyperlink" Target="https://www.analog.com/media/en/technical-documentation/controlled-drawings/sid000017a-adh1048as.pdf" TargetMode="External"/><Relationship Id="rId637" Type="http://schemas.openxmlformats.org/officeDocument/2006/relationships/hyperlink" Target="https://landandmaritimeapps.dla.mil/Downloads/MilSpec/Smd/93258.pdf" TargetMode="External"/><Relationship Id="rId276" Type="http://schemas.openxmlformats.org/officeDocument/2006/relationships/hyperlink" Target="https://www.analog.com/media/en/radiation-information/radiation-reports/SEE_Test_Report_RH1498.pdf" TargetMode="External"/><Relationship Id="rId483" Type="http://schemas.openxmlformats.org/officeDocument/2006/relationships/hyperlink" Target="https://landandmaritimeapps.dla.mil/Downloads/MilSpec/Smd/89801.pdf" TargetMode="External"/><Relationship Id="rId690" Type="http://schemas.openxmlformats.org/officeDocument/2006/relationships/hyperlink" Target="https://www.analog.com/media/en/radiation-information/radiation-reports/OP400S_HDR_generic.pdf" TargetMode="External"/><Relationship Id="rId704" Type="http://schemas.openxmlformats.org/officeDocument/2006/relationships/hyperlink" Target="https://www.analog.com/media/en/radiation-information/radiation-reports/REF43S_HDR_generic.pdf" TargetMode="External"/><Relationship Id="rId40" Type="http://schemas.openxmlformats.org/officeDocument/2006/relationships/hyperlink" Target="https://www.analog.com/media/en/radiation-information/radiation-reports/AD8629S-Single-Event-Latch-Up-Test.pdf" TargetMode="External"/><Relationship Id="rId136" Type="http://schemas.openxmlformats.org/officeDocument/2006/relationships/hyperlink" Target="https://www.analog.com/media/en/radiation-information/radiation-reports/OP484S_LDR_generic.pdf" TargetMode="External"/><Relationship Id="rId343" Type="http://schemas.openxmlformats.org/officeDocument/2006/relationships/hyperlink" Target="https://www.analog.com/media/en/radiation-information/radiation-reports/ad1671-hdr-generic.pdf" TargetMode="External"/><Relationship Id="rId550" Type="http://schemas.openxmlformats.org/officeDocument/2006/relationships/hyperlink" Target="https://landandmaritimeapps.dla.mil/Downloads/MilSpec/Smd/08218.pdf" TargetMode="External"/><Relationship Id="rId203" Type="http://schemas.openxmlformats.org/officeDocument/2006/relationships/hyperlink" Target="https://www.analog.com/media/en/radiation-information/radiation-reports/DDD_RH117K_Fab_Lot_9529063_1_W9.pdf" TargetMode="External"/><Relationship Id="rId648" Type="http://schemas.openxmlformats.org/officeDocument/2006/relationships/hyperlink" Target="https://www.analog.com/media/en/radiation-information/radiation-reports/ad9361_heavy_ion_see_test_report_final.pdf" TargetMode="External"/><Relationship Id="rId287" Type="http://schemas.openxmlformats.org/officeDocument/2006/relationships/hyperlink" Target="https://www.analog.com/media/en/radiation-information/radiation-reports/AD584S_HDR_generic.pdf" TargetMode="External"/><Relationship Id="rId410" Type="http://schemas.openxmlformats.org/officeDocument/2006/relationships/hyperlink" Target="https://www.analog.com/media/en/technical-documentation/controlled-drawings/sid000077a-adh448s.pdf" TargetMode="External"/><Relationship Id="rId494" Type="http://schemas.openxmlformats.org/officeDocument/2006/relationships/hyperlink" Target="https://landandmaritimeapps.dla.mil/Downloads/MilSpec/Smd/00515.pdf" TargetMode="External"/><Relationship Id="rId508" Type="http://schemas.openxmlformats.org/officeDocument/2006/relationships/hyperlink" Target="https://landandmaritimeapps.dla.mil/Downloads/MilSpec/Smd/14204.pdf" TargetMode="External"/><Relationship Id="rId715" Type="http://schemas.openxmlformats.org/officeDocument/2006/relationships/hyperlink" Target="https://www.analog.com/media/en/radiation-information/radiation-reports/DDD_RH1021CMW-5_Fab_Lot_1022458_1_W13.pdf" TargetMode="External"/><Relationship Id="rId147" Type="http://schemas.openxmlformats.org/officeDocument/2006/relationships/hyperlink" Target="https://www.analog.com/media/en/radiation-information/radiation-reports/PM156S_HDR_generic.pdf" TargetMode="External"/><Relationship Id="rId354" Type="http://schemas.openxmlformats.org/officeDocument/2006/relationships/hyperlink" Target="https://www.analog.com/media/en/radiation-information/radiation-reports/ad8041-hdr.pdf" TargetMode="External"/><Relationship Id="rId51" Type="http://schemas.openxmlformats.org/officeDocument/2006/relationships/hyperlink" Target="https://www.analog.com/media/en/radiation-information/radiation-reports/ADA4084-2S_LDR_generic.pdf" TargetMode="External"/><Relationship Id="rId561" Type="http://schemas.openxmlformats.org/officeDocument/2006/relationships/hyperlink" Target="https://landandmaritimeapps.dla.mil/Downloads/MilSpec/Smd/13250.pdf" TargetMode="External"/><Relationship Id="rId659" Type="http://schemas.openxmlformats.org/officeDocument/2006/relationships/hyperlink" Target="https://www.analog.com/media/en/radiation-information/radiation-reports/adl8140-single-event-effects-report.pdf" TargetMode="External"/><Relationship Id="rId214" Type="http://schemas.openxmlformats.org/officeDocument/2006/relationships/hyperlink" Target="https://www.analog.com/media/en/radiation-information/radiation-reports/OP07S_HDR_generic.pdf" TargetMode="External"/><Relationship Id="rId298" Type="http://schemas.openxmlformats.org/officeDocument/2006/relationships/hyperlink" Target="https://www.analog.com/media/en/radiation-information/radiation-reports/AD9246S_SEE_generic.pdf" TargetMode="External"/><Relationship Id="rId421" Type="http://schemas.openxmlformats.org/officeDocument/2006/relationships/hyperlink" Target="https://www.analog.com/media/en/technical-documentation/controlled-drawings/sid000076a-adh439s.pdf" TargetMode="External"/><Relationship Id="rId519" Type="http://schemas.openxmlformats.org/officeDocument/2006/relationships/hyperlink" Target="https://landandmaritimeapps.dla.mil/Downloads/MilSpec/Smd/87771.pdf" TargetMode="External"/><Relationship Id="rId158" Type="http://schemas.openxmlformats.org/officeDocument/2006/relationships/hyperlink" Target="https://www.analog.com/media/en/radiation-information/radiation-reports/ADA4096_2S_SEL_Generic.pdf" TargetMode="External"/><Relationship Id="rId726" Type="http://schemas.openxmlformats.org/officeDocument/2006/relationships/hyperlink" Target="https://www.analog.com/media/en/radiation-information/radiation-reports/adrf5048-csl-sel-report.pdf" TargetMode="External"/><Relationship Id="rId62" Type="http://schemas.openxmlformats.org/officeDocument/2006/relationships/hyperlink" Target="https://www.analog.com/media/en/radiation-information/radiation-reports/ADL5501S_SEE_generic.pdf" TargetMode="External"/><Relationship Id="rId365" Type="http://schemas.openxmlformats.org/officeDocument/2006/relationships/hyperlink" Target="https://www.analog.com/media/en/radiation-information/radiation-reports/adf4108s-sel.pdf" TargetMode="External"/><Relationship Id="rId572" Type="http://schemas.openxmlformats.org/officeDocument/2006/relationships/hyperlink" Target="https://landandmaritimeapps.dla.mil/Downloads/MilSpec/Smd/85127.pdf" TargetMode="External"/><Relationship Id="rId225" Type="http://schemas.openxmlformats.org/officeDocument/2006/relationships/hyperlink" Target="https://www.analog.com/media/en/radiation-information/radiation-reports/DDD_RH1028MW_Fab_Lot_W1117814_1_W2.pdf" TargetMode="External"/><Relationship Id="rId432" Type="http://schemas.openxmlformats.org/officeDocument/2006/relationships/hyperlink" Target="https://www.analog.com/media/en/technical-documentation/controlled-drawings/sid000092a-adh952as.pdf" TargetMode="External"/><Relationship Id="rId737" Type="http://schemas.openxmlformats.org/officeDocument/2006/relationships/hyperlink" Target="https://www.analog.com/media/en/radiation-information/radiation-reports/OP270S_HDR_generic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783953-7C8E-4C68-9B29-16C76FF4EDFF}">
  <dimension ref="A1:S555"/>
  <sheetViews>
    <sheetView tabSelected="1"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A17" sqref="A17"/>
    </sheetView>
  </sheetViews>
  <sheetFormatPr defaultColWidth="9.140625" defaultRowHeight="15" customHeight="1" x14ac:dyDescent="0.25"/>
  <cols>
    <col min="1" max="1" width="14.5703125" style="1" bestFit="1" customWidth="1"/>
    <col min="2" max="2" width="45.42578125" style="1" customWidth="1"/>
    <col min="3" max="3" width="21.5703125" style="1" customWidth="1"/>
    <col min="4" max="4" width="30.140625" style="1" customWidth="1"/>
    <col min="5" max="5" width="29.5703125" style="1" customWidth="1"/>
    <col min="6" max="6" width="49.42578125" style="1" customWidth="1"/>
    <col min="7" max="7" width="14.5703125" style="34" customWidth="1"/>
    <col min="8" max="8" width="13.7109375" style="64" customWidth="1"/>
    <col min="9" max="9" width="19.7109375" style="65" customWidth="1"/>
    <col min="10" max="10" width="16.5703125" style="66" customWidth="1"/>
    <col min="11" max="11" width="17" style="48" customWidth="1"/>
    <col min="12" max="12" width="18.42578125" style="48" customWidth="1"/>
    <col min="13" max="13" width="16.5703125" style="48" customWidth="1"/>
    <col min="14" max="14" width="16.85546875" style="49" customWidth="1"/>
    <col min="15" max="15" width="50.28515625" style="18" customWidth="1"/>
    <col min="16" max="16" width="15.42578125" style="1" customWidth="1"/>
    <col min="17" max="17" width="13.85546875" style="1" customWidth="1"/>
    <col min="18" max="18" width="12.28515625" style="1" customWidth="1"/>
    <col min="19" max="19" width="48.5703125" style="1" customWidth="1"/>
  </cols>
  <sheetData>
    <row r="1" spans="1:19" ht="57" customHeight="1" x14ac:dyDescent="0.25">
      <c r="A1" s="101" t="s">
        <v>0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</row>
    <row r="2" spans="1:19" ht="15" customHeight="1" x14ac:dyDescent="0.25">
      <c r="A2" s="86"/>
      <c r="B2" s="2" t="s">
        <v>1</v>
      </c>
      <c r="C2" s="103">
        <v>46231</v>
      </c>
      <c r="D2" s="52"/>
      <c r="E2" s="52"/>
      <c r="F2" s="52"/>
      <c r="G2" s="51"/>
      <c r="H2" s="51"/>
      <c r="I2" s="52"/>
      <c r="J2" s="58"/>
      <c r="K2" s="52"/>
      <c r="L2" s="58"/>
      <c r="M2" s="52"/>
      <c r="N2" s="52"/>
      <c r="O2" s="52"/>
      <c r="P2" s="52"/>
      <c r="Q2" s="52"/>
      <c r="R2" s="52"/>
      <c r="S2" s="52"/>
    </row>
    <row r="3" spans="1:19" ht="15" customHeight="1" x14ac:dyDescent="0.25">
      <c r="A3" s="3"/>
      <c r="B3" s="3"/>
      <c r="C3" s="3"/>
      <c r="D3" s="3"/>
      <c r="E3" s="3"/>
      <c r="F3" s="3"/>
      <c r="G3" s="32"/>
      <c r="H3" s="51"/>
      <c r="I3" s="53" t="s">
        <v>2</v>
      </c>
      <c r="K3" s="86"/>
      <c r="L3" s="58"/>
      <c r="M3" s="52"/>
      <c r="N3" s="52" t="s">
        <v>3</v>
      </c>
      <c r="O3" s="3"/>
      <c r="P3" s="3"/>
      <c r="Q3" s="3"/>
      <c r="R3" s="3"/>
      <c r="S3" s="3"/>
    </row>
    <row r="4" spans="1:19" ht="75.75" thickBot="1" x14ac:dyDescent="0.3">
      <c r="A4" s="36" t="s">
        <v>4</v>
      </c>
      <c r="B4" s="4" t="s">
        <v>5</v>
      </c>
      <c r="C4" s="35" t="s">
        <v>6</v>
      </c>
      <c r="D4" s="5" t="s">
        <v>7</v>
      </c>
      <c r="E4" s="5" t="s">
        <v>8</v>
      </c>
      <c r="F4" s="37" t="s">
        <v>9</v>
      </c>
      <c r="G4" s="33" t="s">
        <v>10</v>
      </c>
      <c r="H4" s="33" t="s">
        <v>11</v>
      </c>
      <c r="I4" s="6" t="s">
        <v>12</v>
      </c>
      <c r="J4" s="6" t="s">
        <v>13</v>
      </c>
      <c r="K4" s="6" t="s">
        <v>14</v>
      </c>
      <c r="L4" s="6" t="s">
        <v>15</v>
      </c>
      <c r="M4" s="6" t="s">
        <v>16</v>
      </c>
      <c r="N4" s="6" t="s">
        <v>17</v>
      </c>
      <c r="O4" s="82" t="s">
        <v>18</v>
      </c>
      <c r="P4" s="6" t="s">
        <v>19</v>
      </c>
      <c r="Q4" s="72" t="s">
        <v>20</v>
      </c>
      <c r="R4" s="85" t="s">
        <v>1772</v>
      </c>
      <c r="S4" s="7" t="s">
        <v>21</v>
      </c>
    </row>
    <row r="5" spans="1:19" ht="15.75" thickTop="1" x14ac:dyDescent="0.25">
      <c r="A5" s="88" t="s">
        <v>22</v>
      </c>
      <c r="B5" s="87" t="s">
        <v>23</v>
      </c>
      <c r="C5" s="59" t="s">
        <v>24</v>
      </c>
      <c r="D5" s="61" t="s">
        <v>25</v>
      </c>
      <c r="E5" s="61" t="s">
        <v>26</v>
      </c>
      <c r="F5" s="59" t="s">
        <v>27</v>
      </c>
      <c r="G5" s="54" t="s">
        <v>28</v>
      </c>
      <c r="H5" s="54" t="s">
        <v>29</v>
      </c>
      <c r="I5" s="55" t="s">
        <v>30</v>
      </c>
      <c r="J5" s="8" t="s">
        <v>31</v>
      </c>
      <c r="K5" s="11" t="s">
        <v>32</v>
      </c>
      <c r="L5" s="11" t="s">
        <v>32</v>
      </c>
      <c r="M5" s="11" t="s">
        <v>32</v>
      </c>
      <c r="N5" s="73" t="s">
        <v>32</v>
      </c>
      <c r="O5" s="71" t="s">
        <v>33</v>
      </c>
      <c r="P5" s="88" t="s">
        <v>34</v>
      </c>
      <c r="Q5" s="71" t="s">
        <v>35</v>
      </c>
      <c r="R5" s="71" t="s">
        <v>36</v>
      </c>
      <c r="S5" s="9" t="str">
        <f>HYPERLINK(CONCATENATE("https://www.analog.com/", A5, "/datasheet"))</f>
        <v>https://www.analog.com/AD1671S/datasheet</v>
      </c>
    </row>
    <row r="6" spans="1:19" x14ac:dyDescent="0.25">
      <c r="A6" s="87" t="s">
        <v>22</v>
      </c>
      <c r="B6" s="87" t="s">
        <v>23</v>
      </c>
      <c r="C6" s="59" t="s">
        <v>37</v>
      </c>
      <c r="D6" s="61" t="s">
        <v>25</v>
      </c>
      <c r="E6" s="61" t="s">
        <v>26</v>
      </c>
      <c r="F6" s="59" t="s">
        <v>27</v>
      </c>
      <c r="G6" s="54" t="s">
        <v>28</v>
      </c>
      <c r="H6" s="54" t="s">
        <v>29</v>
      </c>
      <c r="I6" s="55" t="s">
        <v>30</v>
      </c>
      <c r="J6" s="8" t="s">
        <v>31</v>
      </c>
      <c r="K6" s="11" t="s">
        <v>32</v>
      </c>
      <c r="L6" s="11" t="s">
        <v>32</v>
      </c>
      <c r="M6" s="11" t="s">
        <v>32</v>
      </c>
      <c r="N6" s="73" t="s">
        <v>32</v>
      </c>
      <c r="O6" s="71" t="s">
        <v>38</v>
      </c>
      <c r="P6" s="88" t="s">
        <v>34</v>
      </c>
      <c r="Q6" s="71" t="s">
        <v>35</v>
      </c>
      <c r="R6" s="71" t="s">
        <v>39</v>
      </c>
      <c r="S6" s="9" t="str">
        <f>HYPERLINK(CONCATENATE("https://www.analog.com/", A6, "/datasheet"))</f>
        <v>https://www.analog.com/AD1671S/datasheet</v>
      </c>
    </row>
    <row r="7" spans="1:19" x14ac:dyDescent="0.25">
      <c r="A7" s="87" t="s">
        <v>22</v>
      </c>
      <c r="B7" s="87" t="s">
        <v>23</v>
      </c>
      <c r="C7" s="61" t="s">
        <v>40</v>
      </c>
      <c r="D7" s="61" t="s">
        <v>25</v>
      </c>
      <c r="E7" s="61" t="s">
        <v>26</v>
      </c>
      <c r="F7" s="10" t="s">
        <v>41</v>
      </c>
      <c r="G7" s="54" t="s">
        <v>28</v>
      </c>
      <c r="H7" s="11" t="s">
        <v>42</v>
      </c>
      <c r="I7" s="11" t="s">
        <v>42</v>
      </c>
      <c r="J7" s="11" t="s">
        <v>42</v>
      </c>
      <c r="K7" s="11" t="s">
        <v>42</v>
      </c>
      <c r="L7" s="11" t="s">
        <v>42</v>
      </c>
      <c r="M7" s="11" t="s">
        <v>42</v>
      </c>
      <c r="N7" s="73" t="s">
        <v>42</v>
      </c>
      <c r="O7" s="71" t="s">
        <v>38</v>
      </c>
      <c r="P7" s="88" t="s">
        <v>34</v>
      </c>
      <c r="Q7" s="71" t="s">
        <v>43</v>
      </c>
      <c r="R7" s="71" t="s">
        <v>39</v>
      </c>
      <c r="S7" s="9" t="str">
        <f>HYPERLINK(CONCATENATE("https://www.analog.com/", A7, "/datasheet"))</f>
        <v>https://www.analog.com/AD1671S/datasheet</v>
      </c>
    </row>
    <row r="8" spans="1:19" x14ac:dyDescent="0.25">
      <c r="A8" s="87" t="s">
        <v>44</v>
      </c>
      <c r="B8" s="87" t="s">
        <v>45</v>
      </c>
      <c r="C8" s="59" t="s">
        <v>46</v>
      </c>
      <c r="D8" s="61" t="s">
        <v>25</v>
      </c>
      <c r="E8" s="61" t="s">
        <v>26</v>
      </c>
      <c r="F8" s="59" t="s">
        <v>27</v>
      </c>
      <c r="G8" s="54" t="s">
        <v>47</v>
      </c>
      <c r="H8" s="54" t="s">
        <v>29</v>
      </c>
      <c r="I8" s="55" t="s">
        <v>30</v>
      </c>
      <c r="J8" s="8" t="s">
        <v>48</v>
      </c>
      <c r="K8" s="11" t="s">
        <v>32</v>
      </c>
      <c r="L8" s="11" t="s">
        <v>32</v>
      </c>
      <c r="M8" s="11" t="s">
        <v>32</v>
      </c>
      <c r="N8" s="73" t="s">
        <v>32</v>
      </c>
      <c r="O8" s="71" t="s">
        <v>38</v>
      </c>
      <c r="P8" s="88" t="s">
        <v>34</v>
      </c>
      <c r="Q8" s="71" t="s">
        <v>35</v>
      </c>
      <c r="R8" s="71" t="s">
        <v>39</v>
      </c>
      <c r="S8" s="9" t="str">
        <f>HYPERLINK(CONCATENATE("https://www.analog.com/", A8, "/datasheet"))</f>
        <v>https://www.analog.com/AD1672S/datasheet</v>
      </c>
    </row>
    <row r="9" spans="1:19" x14ac:dyDescent="0.25">
      <c r="A9" s="88" t="s">
        <v>44</v>
      </c>
      <c r="B9" s="87" t="s">
        <v>45</v>
      </c>
      <c r="C9" s="61" t="s">
        <v>49</v>
      </c>
      <c r="D9" s="61" t="s">
        <v>25</v>
      </c>
      <c r="E9" s="61" t="s">
        <v>26</v>
      </c>
      <c r="F9" s="10" t="s">
        <v>41</v>
      </c>
      <c r="G9" s="54" t="s">
        <v>47</v>
      </c>
      <c r="H9" s="11" t="s">
        <v>42</v>
      </c>
      <c r="I9" s="11" t="s">
        <v>42</v>
      </c>
      <c r="J9" s="11" t="s">
        <v>42</v>
      </c>
      <c r="K9" s="11" t="s">
        <v>42</v>
      </c>
      <c r="L9" s="11" t="s">
        <v>42</v>
      </c>
      <c r="M9" s="11" t="s">
        <v>42</v>
      </c>
      <c r="N9" s="73" t="s">
        <v>42</v>
      </c>
      <c r="O9" s="71" t="s">
        <v>38</v>
      </c>
      <c r="P9" s="88" t="s">
        <v>34</v>
      </c>
      <c r="Q9" s="71" t="s">
        <v>35</v>
      </c>
      <c r="R9" s="71" t="s">
        <v>39</v>
      </c>
      <c r="S9" s="9" t="str">
        <f>HYPERLINK(CONCATENATE("https://www.analog.com/", A9, "/datasheet"))</f>
        <v>https://www.analog.com/AD1672S/datasheet</v>
      </c>
    </row>
    <row r="10" spans="1:19" x14ac:dyDescent="0.25">
      <c r="A10" s="87" t="s">
        <v>50</v>
      </c>
      <c r="B10" s="87" t="s">
        <v>51</v>
      </c>
      <c r="C10" s="61" t="s">
        <v>52</v>
      </c>
      <c r="D10" s="61" t="s">
        <v>53</v>
      </c>
      <c r="E10" s="61" t="s">
        <v>54</v>
      </c>
      <c r="F10" s="61" t="s">
        <v>55</v>
      </c>
      <c r="G10" s="54" t="s">
        <v>28</v>
      </c>
      <c r="H10" s="54" t="s">
        <v>56</v>
      </c>
      <c r="I10" s="55">
        <v>100</v>
      </c>
      <c r="J10" s="12" t="s">
        <v>57</v>
      </c>
      <c r="K10" s="11" t="s">
        <v>32</v>
      </c>
      <c r="L10" s="11" t="s">
        <v>32</v>
      </c>
      <c r="M10" s="11" t="s">
        <v>32</v>
      </c>
      <c r="N10" s="73" t="s">
        <v>32</v>
      </c>
      <c r="O10" s="71" t="s">
        <v>58</v>
      </c>
      <c r="P10" s="88" t="s">
        <v>59</v>
      </c>
      <c r="Q10" s="71" t="s">
        <v>35</v>
      </c>
      <c r="R10" s="71" t="s">
        <v>60</v>
      </c>
      <c r="S10" s="24" t="s">
        <v>61</v>
      </c>
    </row>
    <row r="11" spans="1:19" x14ac:dyDescent="0.25">
      <c r="A11" s="87" t="s">
        <v>50</v>
      </c>
      <c r="B11" s="87" t="s">
        <v>51</v>
      </c>
      <c r="C11" s="61" t="s">
        <v>62</v>
      </c>
      <c r="D11" s="61" t="s">
        <v>53</v>
      </c>
      <c r="E11" s="61" t="s">
        <v>54</v>
      </c>
      <c r="F11" s="61" t="s">
        <v>55</v>
      </c>
      <c r="G11" s="54" t="s">
        <v>28</v>
      </c>
      <c r="H11" s="54" t="s">
        <v>56</v>
      </c>
      <c r="I11" s="55">
        <v>100</v>
      </c>
      <c r="J11" s="12" t="s">
        <v>57</v>
      </c>
      <c r="K11" s="11" t="s">
        <v>32</v>
      </c>
      <c r="L11" s="11" t="s">
        <v>32</v>
      </c>
      <c r="M11" s="11" t="s">
        <v>32</v>
      </c>
      <c r="N11" s="73" t="s">
        <v>32</v>
      </c>
      <c r="O11" s="71" t="s">
        <v>63</v>
      </c>
      <c r="P11" s="88" t="s">
        <v>34</v>
      </c>
      <c r="Q11" s="71" t="s">
        <v>35</v>
      </c>
      <c r="R11" s="71" t="s">
        <v>64</v>
      </c>
      <c r="S11" s="9" t="s">
        <v>61</v>
      </c>
    </row>
    <row r="12" spans="1:19" x14ac:dyDescent="0.25">
      <c r="A12" s="87" t="s">
        <v>65</v>
      </c>
      <c r="B12" s="87" t="s">
        <v>66</v>
      </c>
      <c r="C12" s="61" t="s">
        <v>67</v>
      </c>
      <c r="D12" s="61" t="s">
        <v>68</v>
      </c>
      <c r="E12" s="61" t="s">
        <v>69</v>
      </c>
      <c r="F12" s="61" t="s">
        <v>55</v>
      </c>
      <c r="G12" s="54" t="s">
        <v>28</v>
      </c>
      <c r="H12" s="54" t="s">
        <v>29</v>
      </c>
      <c r="I12" s="55" t="s">
        <v>70</v>
      </c>
      <c r="J12" s="14" t="s">
        <v>71</v>
      </c>
      <c r="K12" s="11" t="s">
        <v>32</v>
      </c>
      <c r="L12" s="11" t="s">
        <v>32</v>
      </c>
      <c r="M12" s="11" t="s">
        <v>32</v>
      </c>
      <c r="N12" s="73" t="s">
        <v>32</v>
      </c>
      <c r="O12" s="71" t="s">
        <v>72</v>
      </c>
      <c r="P12" s="88" t="s">
        <v>59</v>
      </c>
      <c r="Q12" s="71" t="s">
        <v>35</v>
      </c>
      <c r="R12" s="71" t="s">
        <v>73</v>
      </c>
      <c r="S12" s="24" t="s">
        <v>74</v>
      </c>
    </row>
    <row r="13" spans="1:19" x14ac:dyDescent="0.25">
      <c r="A13" s="87" t="s">
        <v>65</v>
      </c>
      <c r="B13" s="87" t="s">
        <v>66</v>
      </c>
      <c r="C13" s="61" t="s">
        <v>75</v>
      </c>
      <c r="D13" s="61" t="s">
        <v>68</v>
      </c>
      <c r="E13" s="61" t="s">
        <v>69</v>
      </c>
      <c r="F13" s="59" t="s">
        <v>76</v>
      </c>
      <c r="G13" s="54" t="s">
        <v>28</v>
      </c>
      <c r="H13" s="54" t="s">
        <v>29</v>
      </c>
      <c r="I13" s="55" t="s">
        <v>70</v>
      </c>
      <c r="J13" s="14" t="s">
        <v>71</v>
      </c>
      <c r="K13" s="11" t="s">
        <v>32</v>
      </c>
      <c r="L13" s="11" t="s">
        <v>32</v>
      </c>
      <c r="M13" s="11" t="s">
        <v>32</v>
      </c>
      <c r="N13" s="73" t="s">
        <v>32</v>
      </c>
      <c r="O13" s="71" t="s">
        <v>77</v>
      </c>
      <c r="P13" s="79" t="s">
        <v>42</v>
      </c>
      <c r="Q13" s="79" t="s">
        <v>42</v>
      </c>
      <c r="R13" s="79" t="s">
        <v>42</v>
      </c>
      <c r="S13" s="9" t="str">
        <f>HYPERLINK(CONCATENATE("https://www.analog.com/", A13, "/datasheet"))</f>
        <v>https://www.analog.com/AD534S/datasheet</v>
      </c>
    </row>
    <row r="14" spans="1:19" x14ac:dyDescent="0.25">
      <c r="A14" s="88" t="s">
        <v>78</v>
      </c>
      <c r="B14" s="87" t="s">
        <v>79</v>
      </c>
      <c r="C14" s="59" t="s">
        <v>80</v>
      </c>
      <c r="D14" s="61" t="s">
        <v>81</v>
      </c>
      <c r="E14" s="61" t="s">
        <v>82</v>
      </c>
      <c r="F14" s="59" t="s">
        <v>27</v>
      </c>
      <c r="G14" s="54" t="s">
        <v>28</v>
      </c>
      <c r="H14" s="54" t="s">
        <v>29</v>
      </c>
      <c r="I14" s="11" t="s">
        <v>32</v>
      </c>
      <c r="J14" s="11" t="s">
        <v>32</v>
      </c>
      <c r="K14" s="11" t="s">
        <v>32</v>
      </c>
      <c r="L14" s="11" t="s">
        <v>32</v>
      </c>
      <c r="M14" s="11" t="s">
        <v>32</v>
      </c>
      <c r="N14" s="73" t="s">
        <v>32</v>
      </c>
      <c r="O14" s="71" t="s">
        <v>72</v>
      </c>
      <c r="P14" s="88" t="s">
        <v>59</v>
      </c>
      <c r="Q14" s="71" t="s">
        <v>35</v>
      </c>
      <c r="R14" s="71" t="s">
        <v>73</v>
      </c>
      <c r="S14" s="9" t="str">
        <f>HYPERLINK(CONCATENATE("https://www.analog.com/", A14, "/datasheet"))</f>
        <v>https://www.analog.com/AD537S/datasheet</v>
      </c>
    </row>
    <row r="15" spans="1:19" x14ac:dyDescent="0.25">
      <c r="A15" s="87" t="s">
        <v>83</v>
      </c>
      <c r="B15" s="87" t="s">
        <v>84</v>
      </c>
      <c r="C15" s="61" t="s">
        <v>85</v>
      </c>
      <c r="D15" s="61" t="s">
        <v>86</v>
      </c>
      <c r="E15" s="61" t="s">
        <v>87</v>
      </c>
      <c r="F15" s="59" t="s">
        <v>76</v>
      </c>
      <c r="G15" s="54" t="s">
        <v>28</v>
      </c>
      <c r="H15" s="54" t="s">
        <v>29</v>
      </c>
      <c r="I15" s="11" t="s">
        <v>32</v>
      </c>
      <c r="J15" s="11" t="s">
        <v>32</v>
      </c>
      <c r="K15" s="11" t="s">
        <v>32</v>
      </c>
      <c r="L15" s="11" t="s">
        <v>32</v>
      </c>
      <c r="M15" s="11" t="s">
        <v>32</v>
      </c>
      <c r="N15" s="73" t="s">
        <v>32</v>
      </c>
      <c r="O15" s="71" t="s">
        <v>77</v>
      </c>
      <c r="P15" s="79" t="s">
        <v>42</v>
      </c>
      <c r="Q15" s="79" t="s">
        <v>42</v>
      </c>
      <c r="R15" s="79" t="s">
        <v>42</v>
      </c>
      <c r="S15" s="9" t="str">
        <f>HYPERLINK(CONCATENATE("https://www.analog.com/", A15, "/datasheet"))</f>
        <v>https://www.analog.com/AD561S/datasheet</v>
      </c>
    </row>
    <row r="16" spans="1:19" x14ac:dyDescent="0.25">
      <c r="A16" s="87" t="s">
        <v>88</v>
      </c>
      <c r="B16" s="87" t="s">
        <v>89</v>
      </c>
      <c r="C16" s="61" t="s">
        <v>90</v>
      </c>
      <c r="D16" s="61" t="s">
        <v>86</v>
      </c>
      <c r="E16" s="61" t="s">
        <v>87</v>
      </c>
      <c r="F16" s="61" t="s">
        <v>55</v>
      </c>
      <c r="G16" s="54" t="s">
        <v>28</v>
      </c>
      <c r="H16" s="54" t="s">
        <v>29</v>
      </c>
      <c r="I16" s="55" t="s">
        <v>91</v>
      </c>
      <c r="J16" s="14" t="s">
        <v>92</v>
      </c>
      <c r="K16" s="11" t="s">
        <v>32</v>
      </c>
      <c r="L16" s="11" t="s">
        <v>32</v>
      </c>
      <c r="M16" s="11" t="s">
        <v>32</v>
      </c>
      <c r="N16" s="73" t="s">
        <v>32</v>
      </c>
      <c r="O16" s="71" t="s">
        <v>93</v>
      </c>
      <c r="P16" s="88" t="s">
        <v>59</v>
      </c>
      <c r="Q16" s="71" t="s">
        <v>35</v>
      </c>
      <c r="R16" s="71" t="s">
        <v>94</v>
      </c>
      <c r="S16" s="24" t="s">
        <v>95</v>
      </c>
    </row>
    <row r="17" spans="1:19" x14ac:dyDescent="0.25">
      <c r="A17" s="87" t="s">
        <v>88</v>
      </c>
      <c r="B17" s="87" t="s">
        <v>89</v>
      </c>
      <c r="C17" s="61" t="s">
        <v>96</v>
      </c>
      <c r="D17" s="61" t="s">
        <v>86</v>
      </c>
      <c r="E17" s="61" t="s">
        <v>87</v>
      </c>
      <c r="F17" s="61" t="s">
        <v>55</v>
      </c>
      <c r="G17" s="54" t="s">
        <v>28</v>
      </c>
      <c r="H17" s="54" t="s">
        <v>29</v>
      </c>
      <c r="I17" s="55" t="s">
        <v>91</v>
      </c>
      <c r="J17" s="14" t="s">
        <v>92</v>
      </c>
      <c r="K17" s="11" t="s">
        <v>32</v>
      </c>
      <c r="L17" s="11" t="s">
        <v>32</v>
      </c>
      <c r="M17" s="11" t="s">
        <v>32</v>
      </c>
      <c r="N17" s="73" t="s">
        <v>32</v>
      </c>
      <c r="O17" s="71" t="s">
        <v>93</v>
      </c>
      <c r="P17" s="88" t="s">
        <v>59</v>
      </c>
      <c r="Q17" s="71" t="s">
        <v>35</v>
      </c>
      <c r="R17" s="71" t="s">
        <v>94</v>
      </c>
      <c r="S17" s="24" t="s">
        <v>95</v>
      </c>
    </row>
    <row r="18" spans="1:19" x14ac:dyDescent="0.25">
      <c r="A18" s="87" t="s">
        <v>97</v>
      </c>
      <c r="B18" s="87" t="s">
        <v>98</v>
      </c>
      <c r="C18" s="61" t="s">
        <v>99</v>
      </c>
      <c r="D18" s="61" t="s">
        <v>25</v>
      </c>
      <c r="E18" s="61" t="s">
        <v>26</v>
      </c>
      <c r="F18" s="61" t="s">
        <v>55</v>
      </c>
      <c r="G18" s="54" t="s">
        <v>28</v>
      </c>
      <c r="H18" s="54" t="s">
        <v>29</v>
      </c>
      <c r="I18" s="55" t="s">
        <v>30</v>
      </c>
      <c r="J18" s="14" t="s">
        <v>100</v>
      </c>
      <c r="K18" s="11" t="s">
        <v>32</v>
      </c>
      <c r="L18" s="11" t="s">
        <v>32</v>
      </c>
      <c r="M18" s="11" t="s">
        <v>32</v>
      </c>
      <c r="N18" s="73" t="s">
        <v>32</v>
      </c>
      <c r="O18" s="71" t="s">
        <v>101</v>
      </c>
      <c r="P18" s="88" t="s">
        <v>59</v>
      </c>
      <c r="Q18" s="71" t="s">
        <v>35</v>
      </c>
      <c r="R18" s="71" t="s">
        <v>102</v>
      </c>
      <c r="S18" s="24" t="s">
        <v>103</v>
      </c>
    </row>
    <row r="19" spans="1:19" x14ac:dyDescent="0.25">
      <c r="A19" s="61" t="s">
        <v>97</v>
      </c>
      <c r="B19" s="87" t="s">
        <v>98</v>
      </c>
      <c r="C19" s="61" t="s">
        <v>104</v>
      </c>
      <c r="D19" s="61" t="s">
        <v>25</v>
      </c>
      <c r="E19" s="61" t="s">
        <v>26</v>
      </c>
      <c r="F19" s="59" t="s">
        <v>76</v>
      </c>
      <c r="G19" s="54" t="s">
        <v>28</v>
      </c>
      <c r="H19" s="54" t="s">
        <v>29</v>
      </c>
      <c r="I19" s="55" t="s">
        <v>30</v>
      </c>
      <c r="J19" s="14" t="s">
        <v>100</v>
      </c>
      <c r="K19" s="11" t="s">
        <v>32</v>
      </c>
      <c r="L19" s="11" t="s">
        <v>32</v>
      </c>
      <c r="M19" s="11" t="s">
        <v>32</v>
      </c>
      <c r="N19" s="73" t="s">
        <v>32</v>
      </c>
      <c r="O19" s="71" t="s">
        <v>77</v>
      </c>
      <c r="P19" s="79" t="s">
        <v>42</v>
      </c>
      <c r="Q19" s="79" t="s">
        <v>42</v>
      </c>
      <c r="R19" s="79" t="s">
        <v>42</v>
      </c>
      <c r="S19" s="9" t="str">
        <f>HYPERLINK(CONCATENATE("https://www.analog.com/", A19, "/datasheet"))</f>
        <v>https://www.analog.com/AD571S/datasheet</v>
      </c>
    </row>
    <row r="20" spans="1:19" x14ac:dyDescent="0.25">
      <c r="A20" s="59" t="s">
        <v>105</v>
      </c>
      <c r="B20" s="87" t="s">
        <v>106</v>
      </c>
      <c r="C20" s="59" t="s">
        <v>107</v>
      </c>
      <c r="D20" s="61" t="s">
        <v>25</v>
      </c>
      <c r="E20" s="61" t="s">
        <v>26</v>
      </c>
      <c r="F20" s="61" t="s">
        <v>55</v>
      </c>
      <c r="G20" s="54" t="s">
        <v>28</v>
      </c>
      <c r="H20" s="54" t="s">
        <v>56</v>
      </c>
      <c r="I20" s="55">
        <v>100</v>
      </c>
      <c r="J20" s="8" t="s">
        <v>108</v>
      </c>
      <c r="K20" s="55">
        <v>83</v>
      </c>
      <c r="L20" s="8" t="s">
        <v>109</v>
      </c>
      <c r="M20" s="11" t="s">
        <v>32</v>
      </c>
      <c r="N20" s="73" t="s">
        <v>32</v>
      </c>
      <c r="O20" s="71" t="s">
        <v>110</v>
      </c>
      <c r="P20" s="88" t="s">
        <v>59</v>
      </c>
      <c r="Q20" s="71" t="s">
        <v>35</v>
      </c>
      <c r="R20" s="71" t="s">
        <v>111</v>
      </c>
      <c r="S20" s="24" t="s">
        <v>112</v>
      </c>
    </row>
    <row r="21" spans="1:19" x14ac:dyDescent="0.25">
      <c r="A21" s="59" t="s">
        <v>105</v>
      </c>
      <c r="B21" s="87" t="s">
        <v>106</v>
      </c>
      <c r="C21" s="59" t="s">
        <v>113</v>
      </c>
      <c r="D21" s="61" t="s">
        <v>25</v>
      </c>
      <c r="E21" s="61" t="s">
        <v>26</v>
      </c>
      <c r="F21" s="61" t="s">
        <v>55</v>
      </c>
      <c r="G21" s="54" t="s">
        <v>28</v>
      </c>
      <c r="H21" s="54" t="s">
        <v>56</v>
      </c>
      <c r="I21" s="55">
        <v>100</v>
      </c>
      <c r="J21" s="8" t="s">
        <v>108</v>
      </c>
      <c r="K21" s="55">
        <v>83</v>
      </c>
      <c r="L21" s="8" t="s">
        <v>109</v>
      </c>
      <c r="M21" s="11" t="s">
        <v>32</v>
      </c>
      <c r="N21" s="73" t="s">
        <v>32</v>
      </c>
      <c r="O21" s="71" t="s">
        <v>114</v>
      </c>
      <c r="P21" s="88" t="s">
        <v>59</v>
      </c>
      <c r="Q21" s="71" t="s">
        <v>35</v>
      </c>
      <c r="R21" s="71" t="s">
        <v>115</v>
      </c>
      <c r="S21" s="9" t="s">
        <v>112</v>
      </c>
    </row>
    <row r="22" spans="1:19" x14ac:dyDescent="0.25">
      <c r="A22" s="59" t="s">
        <v>105</v>
      </c>
      <c r="B22" s="87" t="s">
        <v>106</v>
      </c>
      <c r="C22" s="59" t="s">
        <v>116</v>
      </c>
      <c r="D22" s="61" t="s">
        <v>25</v>
      </c>
      <c r="E22" s="61" t="s">
        <v>26</v>
      </c>
      <c r="F22" s="61" t="s">
        <v>55</v>
      </c>
      <c r="G22" s="54" t="s">
        <v>28</v>
      </c>
      <c r="H22" s="54" t="s">
        <v>56</v>
      </c>
      <c r="I22" s="55">
        <v>100</v>
      </c>
      <c r="J22" s="8" t="s">
        <v>108</v>
      </c>
      <c r="K22" s="55">
        <v>83</v>
      </c>
      <c r="L22" s="8" t="s">
        <v>109</v>
      </c>
      <c r="M22" s="11" t="s">
        <v>32</v>
      </c>
      <c r="N22" s="73" t="s">
        <v>32</v>
      </c>
      <c r="O22" s="71" t="s">
        <v>110</v>
      </c>
      <c r="P22" s="88" t="s">
        <v>59</v>
      </c>
      <c r="Q22" s="71" t="s">
        <v>35</v>
      </c>
      <c r="R22" s="71" t="s">
        <v>111</v>
      </c>
      <c r="S22" s="24" t="s">
        <v>112</v>
      </c>
    </row>
    <row r="23" spans="1:19" x14ac:dyDescent="0.25">
      <c r="A23" s="88" t="s">
        <v>105</v>
      </c>
      <c r="B23" s="87" t="s">
        <v>106</v>
      </c>
      <c r="C23" s="59" t="s">
        <v>117</v>
      </c>
      <c r="D23" s="61" t="s">
        <v>25</v>
      </c>
      <c r="E23" s="61" t="s">
        <v>26</v>
      </c>
      <c r="F23" s="61" t="s">
        <v>55</v>
      </c>
      <c r="G23" s="54" t="s">
        <v>28</v>
      </c>
      <c r="H23" s="54" t="s">
        <v>56</v>
      </c>
      <c r="I23" s="55">
        <v>100</v>
      </c>
      <c r="J23" s="8" t="s">
        <v>108</v>
      </c>
      <c r="K23" s="55">
        <v>83</v>
      </c>
      <c r="L23" s="8" t="s">
        <v>109</v>
      </c>
      <c r="M23" s="11" t="s">
        <v>32</v>
      </c>
      <c r="N23" s="73" t="s">
        <v>32</v>
      </c>
      <c r="O23" s="71" t="s">
        <v>114</v>
      </c>
      <c r="P23" s="88" t="s">
        <v>59</v>
      </c>
      <c r="Q23" s="71" t="s">
        <v>35</v>
      </c>
      <c r="R23" s="71" t="s">
        <v>115</v>
      </c>
      <c r="S23" s="24" t="s">
        <v>112</v>
      </c>
    </row>
    <row r="24" spans="1:19" x14ac:dyDescent="0.25">
      <c r="A24" s="87" t="s">
        <v>105</v>
      </c>
      <c r="B24" s="87" t="s">
        <v>106</v>
      </c>
      <c r="C24" s="61" t="s">
        <v>118</v>
      </c>
      <c r="D24" s="61" t="s">
        <v>25</v>
      </c>
      <c r="E24" s="61" t="s">
        <v>26</v>
      </c>
      <c r="F24" s="10" t="s">
        <v>41</v>
      </c>
      <c r="G24" s="54" t="s">
        <v>28</v>
      </c>
      <c r="H24" s="11" t="s">
        <v>42</v>
      </c>
      <c r="I24" s="11" t="s">
        <v>42</v>
      </c>
      <c r="J24" s="11" t="s">
        <v>42</v>
      </c>
      <c r="K24" s="11" t="s">
        <v>42</v>
      </c>
      <c r="L24" s="11" t="s">
        <v>42</v>
      </c>
      <c r="M24" s="11" t="s">
        <v>42</v>
      </c>
      <c r="N24" s="73" t="s">
        <v>42</v>
      </c>
      <c r="O24" s="71" t="s">
        <v>119</v>
      </c>
      <c r="P24" s="88" t="s">
        <v>59</v>
      </c>
      <c r="Q24" s="71" t="s">
        <v>35</v>
      </c>
      <c r="R24" s="71" t="s">
        <v>115</v>
      </c>
      <c r="S24" s="9" t="str">
        <f>HYPERLINK(CONCATENATE("https://www.analog.com/", A24, "/datasheet"))</f>
        <v>https://www.analog.com/AD574S/datasheet</v>
      </c>
    </row>
    <row r="25" spans="1:19" x14ac:dyDescent="0.25">
      <c r="A25" s="87" t="s">
        <v>120</v>
      </c>
      <c r="B25" s="87" t="s">
        <v>121</v>
      </c>
      <c r="C25" s="61" t="s">
        <v>122</v>
      </c>
      <c r="D25" s="61" t="s">
        <v>68</v>
      </c>
      <c r="E25" s="61" t="s">
        <v>123</v>
      </c>
      <c r="F25" s="61" t="s">
        <v>55</v>
      </c>
      <c r="G25" s="54" t="s">
        <v>28</v>
      </c>
      <c r="H25" s="54" t="s">
        <v>29</v>
      </c>
      <c r="I25" s="55" t="s">
        <v>30</v>
      </c>
      <c r="J25" s="8" t="s">
        <v>124</v>
      </c>
      <c r="K25" s="11" t="s">
        <v>32</v>
      </c>
      <c r="L25" s="11" t="s">
        <v>32</v>
      </c>
      <c r="M25" s="11" t="s">
        <v>32</v>
      </c>
      <c r="N25" s="73" t="s">
        <v>32</v>
      </c>
      <c r="O25" s="71" t="s">
        <v>125</v>
      </c>
      <c r="P25" s="88" t="s">
        <v>126</v>
      </c>
      <c r="Q25" s="71" t="s">
        <v>35</v>
      </c>
      <c r="R25" s="71" t="s">
        <v>127</v>
      </c>
      <c r="S25" s="24" t="s">
        <v>128</v>
      </c>
    </row>
    <row r="26" spans="1:19" x14ac:dyDescent="0.25">
      <c r="A26" s="87" t="s">
        <v>120</v>
      </c>
      <c r="B26" s="87" t="s">
        <v>121</v>
      </c>
      <c r="C26" s="61" t="s">
        <v>122</v>
      </c>
      <c r="D26" s="61" t="s">
        <v>68</v>
      </c>
      <c r="E26" s="61" t="s">
        <v>123</v>
      </c>
      <c r="F26" s="61" t="s">
        <v>55</v>
      </c>
      <c r="G26" s="54" t="s">
        <v>28</v>
      </c>
      <c r="H26" s="54" t="s">
        <v>29</v>
      </c>
      <c r="I26" s="55" t="s">
        <v>30</v>
      </c>
      <c r="J26" s="8" t="s">
        <v>124</v>
      </c>
      <c r="K26" s="11" t="s">
        <v>32</v>
      </c>
      <c r="L26" s="11" t="s">
        <v>32</v>
      </c>
      <c r="M26" s="11" t="s">
        <v>32</v>
      </c>
      <c r="N26" s="73" t="s">
        <v>32</v>
      </c>
      <c r="O26" s="71" t="s">
        <v>125</v>
      </c>
      <c r="P26" s="88" t="s">
        <v>126</v>
      </c>
      <c r="Q26" s="71" t="s">
        <v>35</v>
      </c>
      <c r="R26" s="71" t="s">
        <v>127</v>
      </c>
      <c r="S26" s="9" t="s">
        <v>128</v>
      </c>
    </row>
    <row r="27" spans="1:19" x14ac:dyDescent="0.25">
      <c r="A27" s="87" t="s">
        <v>120</v>
      </c>
      <c r="B27" s="87" t="s">
        <v>121</v>
      </c>
      <c r="C27" s="61" t="s">
        <v>129</v>
      </c>
      <c r="D27" s="61" t="s">
        <v>68</v>
      </c>
      <c r="E27" s="61" t="s">
        <v>123</v>
      </c>
      <c r="F27" s="61" t="s">
        <v>55</v>
      </c>
      <c r="G27" s="54" t="s">
        <v>28</v>
      </c>
      <c r="H27" s="54" t="s">
        <v>29</v>
      </c>
      <c r="I27" s="55" t="s">
        <v>30</v>
      </c>
      <c r="J27" s="8" t="s">
        <v>124</v>
      </c>
      <c r="K27" s="11" t="s">
        <v>32</v>
      </c>
      <c r="L27" s="11" t="s">
        <v>32</v>
      </c>
      <c r="M27" s="11" t="s">
        <v>32</v>
      </c>
      <c r="N27" s="73" t="s">
        <v>32</v>
      </c>
      <c r="O27" s="71" t="s">
        <v>125</v>
      </c>
      <c r="P27" s="88" t="s">
        <v>126</v>
      </c>
      <c r="Q27" s="71" t="s">
        <v>35</v>
      </c>
      <c r="R27" s="71" t="s">
        <v>127</v>
      </c>
      <c r="S27" s="24" t="s">
        <v>128</v>
      </c>
    </row>
    <row r="28" spans="1:19" x14ac:dyDescent="0.25">
      <c r="A28" s="87" t="s">
        <v>120</v>
      </c>
      <c r="B28" s="87" t="s">
        <v>121</v>
      </c>
      <c r="C28" s="61" t="s">
        <v>130</v>
      </c>
      <c r="D28" s="61" t="s">
        <v>68</v>
      </c>
      <c r="E28" s="61" t="s">
        <v>123</v>
      </c>
      <c r="F28" s="61" t="s">
        <v>55</v>
      </c>
      <c r="G28" s="54" t="s">
        <v>28</v>
      </c>
      <c r="H28" s="54" t="s">
        <v>56</v>
      </c>
      <c r="I28" s="55">
        <v>50</v>
      </c>
      <c r="J28" s="14" t="s">
        <v>131</v>
      </c>
      <c r="K28" s="11" t="s">
        <v>32</v>
      </c>
      <c r="L28" s="11" t="s">
        <v>32</v>
      </c>
      <c r="M28" s="11" t="s">
        <v>32</v>
      </c>
      <c r="N28" s="73" t="s">
        <v>32</v>
      </c>
      <c r="O28" s="71" t="s">
        <v>125</v>
      </c>
      <c r="P28" s="88" t="s">
        <v>126</v>
      </c>
      <c r="Q28" s="71" t="s">
        <v>35</v>
      </c>
      <c r="R28" s="71" t="s">
        <v>127</v>
      </c>
      <c r="S28" s="24" t="s">
        <v>128</v>
      </c>
    </row>
    <row r="29" spans="1:19" x14ac:dyDescent="0.25">
      <c r="A29" s="87" t="s">
        <v>120</v>
      </c>
      <c r="B29" s="87" t="s">
        <v>121</v>
      </c>
      <c r="C29" s="61" t="s">
        <v>132</v>
      </c>
      <c r="D29" s="61" t="s">
        <v>68</v>
      </c>
      <c r="E29" s="61" t="s">
        <v>123</v>
      </c>
      <c r="F29" s="61" t="s">
        <v>55</v>
      </c>
      <c r="G29" s="54" t="s">
        <v>28</v>
      </c>
      <c r="H29" s="54" t="s">
        <v>56</v>
      </c>
      <c r="I29" s="55">
        <v>100</v>
      </c>
      <c r="J29" s="8" t="s">
        <v>124</v>
      </c>
      <c r="K29" s="11" t="s">
        <v>32</v>
      </c>
      <c r="L29" s="11" t="s">
        <v>32</v>
      </c>
      <c r="M29" s="11" t="s">
        <v>32</v>
      </c>
      <c r="N29" s="73" t="s">
        <v>32</v>
      </c>
      <c r="O29" s="71" t="s">
        <v>125</v>
      </c>
      <c r="P29" s="88" t="s">
        <v>126</v>
      </c>
      <c r="Q29" s="71" t="s">
        <v>35</v>
      </c>
      <c r="R29" s="71" t="s">
        <v>127</v>
      </c>
      <c r="S29" s="24" t="s">
        <v>128</v>
      </c>
    </row>
    <row r="30" spans="1:19" x14ac:dyDescent="0.25">
      <c r="A30" s="61" t="s">
        <v>120</v>
      </c>
      <c r="B30" s="87" t="s">
        <v>121</v>
      </c>
      <c r="C30" s="61" t="s">
        <v>133</v>
      </c>
      <c r="D30" s="61" t="s">
        <v>68</v>
      </c>
      <c r="E30" s="61" t="s">
        <v>123</v>
      </c>
      <c r="F30" s="61" t="s">
        <v>55</v>
      </c>
      <c r="G30" s="54" t="s">
        <v>28</v>
      </c>
      <c r="H30" s="54" t="s">
        <v>56</v>
      </c>
      <c r="I30" s="55">
        <v>100</v>
      </c>
      <c r="J30" s="8" t="s">
        <v>124</v>
      </c>
      <c r="K30" s="11" t="s">
        <v>32</v>
      </c>
      <c r="L30" s="11" t="s">
        <v>32</v>
      </c>
      <c r="M30" s="11" t="s">
        <v>32</v>
      </c>
      <c r="N30" s="73" t="s">
        <v>32</v>
      </c>
      <c r="O30" s="71" t="s">
        <v>125</v>
      </c>
      <c r="P30" s="88" t="s">
        <v>126</v>
      </c>
      <c r="Q30" s="71" t="s">
        <v>35</v>
      </c>
      <c r="R30" s="71" t="s">
        <v>127</v>
      </c>
      <c r="S30" s="24" t="s">
        <v>128</v>
      </c>
    </row>
    <row r="31" spans="1:19" x14ac:dyDescent="0.25">
      <c r="A31" s="61" t="s">
        <v>134</v>
      </c>
      <c r="B31" s="87" t="s">
        <v>135</v>
      </c>
      <c r="C31" s="61" t="s">
        <v>136</v>
      </c>
      <c r="D31" s="61" t="s">
        <v>53</v>
      </c>
      <c r="E31" s="61" t="s">
        <v>137</v>
      </c>
      <c r="F31" s="59" t="s">
        <v>27</v>
      </c>
      <c r="G31" s="54" t="s">
        <v>28</v>
      </c>
      <c r="H31" s="54" t="s">
        <v>29</v>
      </c>
      <c r="I31" s="55" t="s">
        <v>30</v>
      </c>
      <c r="J31" s="14" t="s">
        <v>138</v>
      </c>
      <c r="K31" s="11" t="s">
        <v>32</v>
      </c>
      <c r="L31" s="11" t="s">
        <v>32</v>
      </c>
      <c r="M31" s="89">
        <v>1000000000000</v>
      </c>
      <c r="N31" s="74" t="s">
        <v>139</v>
      </c>
      <c r="O31" s="71" t="s">
        <v>72</v>
      </c>
      <c r="P31" s="88" t="s">
        <v>59</v>
      </c>
      <c r="Q31" s="71" t="s">
        <v>35</v>
      </c>
      <c r="R31" s="71" t="s">
        <v>140</v>
      </c>
      <c r="S31" s="9" t="str">
        <f>HYPERLINK(CONCATENATE("https://www.analog.com/", A31, "/datasheet"))</f>
        <v>https://www.analog.com/AD585S/datasheet</v>
      </c>
    </row>
    <row r="32" spans="1:19" x14ac:dyDescent="0.25">
      <c r="A32" s="61" t="s">
        <v>134</v>
      </c>
      <c r="B32" s="87" t="s">
        <v>135</v>
      </c>
      <c r="C32" s="61" t="s">
        <v>141</v>
      </c>
      <c r="D32" s="61" t="s">
        <v>53</v>
      </c>
      <c r="E32" s="61" t="s">
        <v>137</v>
      </c>
      <c r="F32" s="59" t="s">
        <v>27</v>
      </c>
      <c r="G32" s="54" t="s">
        <v>28</v>
      </c>
      <c r="H32" s="54" t="s">
        <v>29</v>
      </c>
      <c r="I32" s="55" t="s">
        <v>30</v>
      </c>
      <c r="J32" s="14" t="s">
        <v>138</v>
      </c>
      <c r="K32" s="11" t="s">
        <v>32</v>
      </c>
      <c r="L32" s="11" t="s">
        <v>32</v>
      </c>
      <c r="M32" s="90">
        <v>1000000000000</v>
      </c>
      <c r="N32" s="74" t="s">
        <v>139</v>
      </c>
      <c r="O32" s="71" t="s">
        <v>72</v>
      </c>
      <c r="P32" s="88" t="s">
        <v>59</v>
      </c>
      <c r="Q32" s="71" t="s">
        <v>35</v>
      </c>
      <c r="R32" s="71" t="s">
        <v>140</v>
      </c>
      <c r="S32" s="9" t="str">
        <f>HYPERLINK(CONCATENATE("https://www.analog.com/", A32, "/datasheet"))</f>
        <v>https://www.analog.com/AD585S/datasheet</v>
      </c>
    </row>
    <row r="33" spans="1:19" x14ac:dyDescent="0.25">
      <c r="A33" s="61" t="s">
        <v>142</v>
      </c>
      <c r="B33" s="87" t="s">
        <v>143</v>
      </c>
      <c r="C33" s="61" t="s">
        <v>144</v>
      </c>
      <c r="D33" s="61" t="s">
        <v>68</v>
      </c>
      <c r="E33" s="61" t="s">
        <v>145</v>
      </c>
      <c r="F33" s="61" t="s">
        <v>55</v>
      </c>
      <c r="G33" s="54" t="s">
        <v>28</v>
      </c>
      <c r="H33" s="54" t="s">
        <v>29</v>
      </c>
      <c r="I33" s="11" t="s">
        <v>32</v>
      </c>
      <c r="J33" s="11" t="s">
        <v>32</v>
      </c>
      <c r="K33" s="11" t="s">
        <v>32</v>
      </c>
      <c r="L33" s="11" t="s">
        <v>32</v>
      </c>
      <c r="M33" s="11" t="s">
        <v>32</v>
      </c>
      <c r="N33" s="73" t="s">
        <v>32</v>
      </c>
      <c r="O33" s="71" t="s">
        <v>146</v>
      </c>
      <c r="P33" s="88" t="s">
        <v>126</v>
      </c>
      <c r="Q33" s="71" t="s">
        <v>35</v>
      </c>
      <c r="R33" s="71" t="s">
        <v>147</v>
      </c>
      <c r="S33" s="24" t="s">
        <v>148</v>
      </c>
    </row>
    <row r="34" spans="1:19" x14ac:dyDescent="0.25">
      <c r="A34" s="61" t="s">
        <v>142</v>
      </c>
      <c r="B34" s="87" t="s">
        <v>143</v>
      </c>
      <c r="C34" s="61" t="s">
        <v>149</v>
      </c>
      <c r="D34" s="61" t="s">
        <v>68</v>
      </c>
      <c r="E34" s="61" t="s">
        <v>145</v>
      </c>
      <c r="F34" s="59" t="s">
        <v>76</v>
      </c>
      <c r="G34" s="54" t="s">
        <v>28</v>
      </c>
      <c r="H34" s="54" t="s">
        <v>29</v>
      </c>
      <c r="I34" s="11" t="s">
        <v>32</v>
      </c>
      <c r="J34" s="11" t="s">
        <v>32</v>
      </c>
      <c r="K34" s="11" t="s">
        <v>32</v>
      </c>
      <c r="L34" s="11" t="s">
        <v>32</v>
      </c>
      <c r="M34" s="11" t="s">
        <v>32</v>
      </c>
      <c r="N34" s="73" t="s">
        <v>32</v>
      </c>
      <c r="O34" s="71" t="s">
        <v>77</v>
      </c>
      <c r="P34" s="79" t="s">
        <v>42</v>
      </c>
      <c r="Q34" s="79" t="s">
        <v>42</v>
      </c>
      <c r="R34" s="79" t="s">
        <v>42</v>
      </c>
      <c r="S34" s="9" t="str">
        <f>HYPERLINK(CONCATENATE("https://www.analog.com/", A34, "/datasheet"))</f>
        <v>https://www.analog.com/AD589S/datasheet</v>
      </c>
    </row>
    <row r="35" spans="1:19" x14ac:dyDescent="0.25">
      <c r="A35" s="87" t="s">
        <v>150</v>
      </c>
      <c r="B35" s="87" t="s">
        <v>151</v>
      </c>
      <c r="C35" s="87" t="s">
        <v>152</v>
      </c>
      <c r="D35" s="61" t="s">
        <v>153</v>
      </c>
      <c r="E35" s="61" t="s">
        <v>154</v>
      </c>
      <c r="F35" s="61" t="s">
        <v>55</v>
      </c>
      <c r="G35" s="54" t="s">
        <v>28</v>
      </c>
      <c r="H35" s="54" t="s">
        <v>56</v>
      </c>
      <c r="I35" s="56">
        <v>50</v>
      </c>
      <c r="J35" s="14" t="s">
        <v>155</v>
      </c>
      <c r="K35" s="11" t="s">
        <v>32</v>
      </c>
      <c r="L35" s="11" t="s">
        <v>32</v>
      </c>
      <c r="M35" s="11" t="s">
        <v>32</v>
      </c>
      <c r="N35" s="73" t="s">
        <v>32</v>
      </c>
      <c r="O35" s="71" t="s">
        <v>156</v>
      </c>
      <c r="P35" s="88" t="s">
        <v>126</v>
      </c>
      <c r="Q35" s="71" t="s">
        <v>35</v>
      </c>
      <c r="R35" s="71" t="s">
        <v>157</v>
      </c>
      <c r="S35" s="24" t="s">
        <v>158</v>
      </c>
    </row>
    <row r="36" spans="1:19" x14ac:dyDescent="0.25">
      <c r="A36" s="61" t="s">
        <v>150</v>
      </c>
      <c r="B36" s="87" t="s">
        <v>151</v>
      </c>
      <c r="C36" s="61" t="s">
        <v>159</v>
      </c>
      <c r="D36" s="61" t="s">
        <v>153</v>
      </c>
      <c r="E36" s="61" t="s">
        <v>154</v>
      </c>
      <c r="F36" s="61" t="s">
        <v>55</v>
      </c>
      <c r="G36" s="54" t="s">
        <v>28</v>
      </c>
      <c r="H36" s="54" t="s">
        <v>56</v>
      </c>
      <c r="I36" s="57">
        <v>100</v>
      </c>
      <c r="J36" s="14" t="s">
        <v>160</v>
      </c>
      <c r="K36" s="11" t="s">
        <v>32</v>
      </c>
      <c r="L36" s="11" t="s">
        <v>32</v>
      </c>
      <c r="M36" s="11" t="s">
        <v>32</v>
      </c>
      <c r="N36" s="73" t="s">
        <v>32</v>
      </c>
      <c r="O36" s="71" t="s">
        <v>161</v>
      </c>
      <c r="P36" s="88" t="s">
        <v>59</v>
      </c>
      <c r="Q36" s="71" t="s">
        <v>35</v>
      </c>
      <c r="R36" s="71" t="s">
        <v>162</v>
      </c>
      <c r="S36" s="24" t="s">
        <v>158</v>
      </c>
    </row>
    <row r="37" spans="1:19" x14ac:dyDescent="0.25">
      <c r="A37" s="61" t="s">
        <v>150</v>
      </c>
      <c r="B37" s="87" t="s">
        <v>151</v>
      </c>
      <c r="C37" s="61" t="s">
        <v>163</v>
      </c>
      <c r="D37" s="61" t="s">
        <v>153</v>
      </c>
      <c r="E37" s="61" t="s">
        <v>154</v>
      </c>
      <c r="F37" s="61" t="s">
        <v>55</v>
      </c>
      <c r="G37" s="54" t="s">
        <v>28</v>
      </c>
      <c r="H37" s="54" t="s">
        <v>56</v>
      </c>
      <c r="I37" s="57">
        <v>100</v>
      </c>
      <c r="J37" s="14" t="s">
        <v>160</v>
      </c>
      <c r="K37" s="11" t="s">
        <v>32</v>
      </c>
      <c r="L37" s="11" t="s">
        <v>32</v>
      </c>
      <c r="M37" s="11" t="s">
        <v>32</v>
      </c>
      <c r="N37" s="73" t="s">
        <v>32</v>
      </c>
      <c r="O37" s="71" t="s">
        <v>156</v>
      </c>
      <c r="P37" s="88" t="s">
        <v>126</v>
      </c>
      <c r="Q37" s="71" t="s">
        <v>35</v>
      </c>
      <c r="R37" s="71" t="s">
        <v>157</v>
      </c>
      <c r="S37" s="24" t="s">
        <v>158</v>
      </c>
    </row>
    <row r="38" spans="1:19" x14ac:dyDescent="0.25">
      <c r="A38" s="61" t="s">
        <v>150</v>
      </c>
      <c r="B38" s="87" t="s">
        <v>151</v>
      </c>
      <c r="C38" s="61" t="s">
        <v>164</v>
      </c>
      <c r="D38" s="61" t="s">
        <v>153</v>
      </c>
      <c r="E38" s="61" t="s">
        <v>154</v>
      </c>
      <c r="F38" s="61" t="s">
        <v>55</v>
      </c>
      <c r="G38" s="54" t="s">
        <v>28</v>
      </c>
      <c r="H38" s="54" t="s">
        <v>56</v>
      </c>
      <c r="I38" s="57">
        <v>100</v>
      </c>
      <c r="J38" s="14" t="s">
        <v>160</v>
      </c>
      <c r="K38" s="11" t="s">
        <v>32</v>
      </c>
      <c r="L38" s="11" t="s">
        <v>32</v>
      </c>
      <c r="M38" s="11" t="s">
        <v>32</v>
      </c>
      <c r="N38" s="73" t="s">
        <v>32</v>
      </c>
      <c r="O38" s="71" t="s">
        <v>161</v>
      </c>
      <c r="P38" s="88" t="s">
        <v>59</v>
      </c>
      <c r="Q38" s="71" t="s">
        <v>35</v>
      </c>
      <c r="R38" s="71" t="s">
        <v>162</v>
      </c>
      <c r="S38" s="24" t="s">
        <v>158</v>
      </c>
    </row>
    <row r="39" spans="1:19" x14ac:dyDescent="0.25">
      <c r="A39" s="61" t="s">
        <v>150</v>
      </c>
      <c r="B39" s="87" t="s">
        <v>151</v>
      </c>
      <c r="C39" s="61" t="s">
        <v>165</v>
      </c>
      <c r="D39" s="61" t="s">
        <v>153</v>
      </c>
      <c r="E39" s="61" t="s">
        <v>154</v>
      </c>
      <c r="F39" s="61" t="s">
        <v>55</v>
      </c>
      <c r="G39" s="54" t="s">
        <v>28</v>
      </c>
      <c r="H39" s="54" t="s">
        <v>56</v>
      </c>
      <c r="I39" s="57">
        <v>100</v>
      </c>
      <c r="J39" s="14" t="s">
        <v>160</v>
      </c>
      <c r="K39" s="11" t="s">
        <v>32</v>
      </c>
      <c r="L39" s="11" t="s">
        <v>32</v>
      </c>
      <c r="M39" s="11" t="s">
        <v>32</v>
      </c>
      <c r="N39" s="73" t="s">
        <v>32</v>
      </c>
      <c r="O39" s="71" t="s">
        <v>161</v>
      </c>
      <c r="P39" s="88" t="s">
        <v>59</v>
      </c>
      <c r="Q39" s="71" t="s">
        <v>43</v>
      </c>
      <c r="R39" s="71" t="s">
        <v>162</v>
      </c>
      <c r="S39" s="24" t="s">
        <v>158</v>
      </c>
    </row>
    <row r="40" spans="1:19" x14ac:dyDescent="0.25">
      <c r="A40" s="61" t="s">
        <v>150</v>
      </c>
      <c r="B40" s="87" t="s">
        <v>151</v>
      </c>
      <c r="C40" s="61" t="s">
        <v>166</v>
      </c>
      <c r="D40" s="61" t="s">
        <v>153</v>
      </c>
      <c r="E40" s="61" t="s">
        <v>154</v>
      </c>
      <c r="F40" s="61" t="s">
        <v>55</v>
      </c>
      <c r="G40" s="54" t="s">
        <v>28</v>
      </c>
      <c r="H40" s="54" t="s">
        <v>56</v>
      </c>
      <c r="I40" s="57">
        <v>100</v>
      </c>
      <c r="J40" s="14" t="s">
        <v>160</v>
      </c>
      <c r="K40" s="11" t="s">
        <v>32</v>
      </c>
      <c r="L40" s="11" t="s">
        <v>32</v>
      </c>
      <c r="M40" s="11" t="s">
        <v>32</v>
      </c>
      <c r="N40" s="73" t="s">
        <v>32</v>
      </c>
      <c r="O40" s="71" t="s">
        <v>156</v>
      </c>
      <c r="P40" s="88" t="s">
        <v>126</v>
      </c>
      <c r="Q40" s="71" t="s">
        <v>35</v>
      </c>
      <c r="R40" s="71" t="s">
        <v>157</v>
      </c>
      <c r="S40" s="24" t="s">
        <v>158</v>
      </c>
    </row>
    <row r="41" spans="1:19" x14ac:dyDescent="0.25">
      <c r="A41" s="87" t="s">
        <v>167</v>
      </c>
      <c r="B41" s="87" t="s">
        <v>168</v>
      </c>
      <c r="C41" s="87" t="s">
        <v>169</v>
      </c>
      <c r="D41" s="61" t="s">
        <v>53</v>
      </c>
      <c r="E41" s="61" t="s">
        <v>170</v>
      </c>
      <c r="F41" s="61" t="s">
        <v>55</v>
      </c>
      <c r="G41" s="54" t="s">
        <v>28</v>
      </c>
      <c r="H41" s="54" t="s">
        <v>29</v>
      </c>
      <c r="I41" s="57" t="s">
        <v>70</v>
      </c>
      <c r="J41" s="14" t="s">
        <v>171</v>
      </c>
      <c r="K41" s="11" t="s">
        <v>32</v>
      </c>
      <c r="L41" s="11" t="s">
        <v>32</v>
      </c>
      <c r="M41" s="11" t="s">
        <v>32</v>
      </c>
      <c r="N41" s="73" t="s">
        <v>32</v>
      </c>
      <c r="O41" s="71" t="s">
        <v>125</v>
      </c>
      <c r="P41" s="88" t="s">
        <v>126</v>
      </c>
      <c r="Q41" s="71" t="s">
        <v>35</v>
      </c>
      <c r="R41" s="71" t="s">
        <v>127</v>
      </c>
      <c r="S41" s="24" t="s">
        <v>172</v>
      </c>
    </row>
    <row r="42" spans="1:19" x14ac:dyDescent="0.25">
      <c r="A42" s="61" t="s">
        <v>167</v>
      </c>
      <c r="B42" s="87" t="s">
        <v>168</v>
      </c>
      <c r="C42" s="61" t="s">
        <v>173</v>
      </c>
      <c r="D42" s="61" t="s">
        <v>53</v>
      </c>
      <c r="E42" s="61" t="s">
        <v>170</v>
      </c>
      <c r="F42" s="61" t="s">
        <v>55</v>
      </c>
      <c r="G42" s="54" t="s">
        <v>28</v>
      </c>
      <c r="H42" s="54" t="s">
        <v>29</v>
      </c>
      <c r="I42" s="57" t="s">
        <v>70</v>
      </c>
      <c r="J42" s="14" t="s">
        <v>171</v>
      </c>
      <c r="K42" s="11" t="s">
        <v>32</v>
      </c>
      <c r="L42" s="11" t="s">
        <v>32</v>
      </c>
      <c r="M42" s="11" t="s">
        <v>32</v>
      </c>
      <c r="N42" s="73" t="s">
        <v>32</v>
      </c>
      <c r="O42" s="71" t="s">
        <v>174</v>
      </c>
      <c r="P42" s="88" t="s">
        <v>59</v>
      </c>
      <c r="Q42" s="71" t="s">
        <v>35</v>
      </c>
      <c r="R42" s="71" t="s">
        <v>175</v>
      </c>
      <c r="S42" s="24" t="s">
        <v>172</v>
      </c>
    </row>
    <row r="43" spans="1:19" x14ac:dyDescent="0.25">
      <c r="A43" s="61" t="s">
        <v>167</v>
      </c>
      <c r="B43" s="87" t="s">
        <v>168</v>
      </c>
      <c r="C43" s="61" t="s">
        <v>176</v>
      </c>
      <c r="D43" s="61" t="s">
        <v>53</v>
      </c>
      <c r="E43" s="61" t="s">
        <v>170</v>
      </c>
      <c r="F43" s="61" t="s">
        <v>55</v>
      </c>
      <c r="G43" s="54" t="s">
        <v>28</v>
      </c>
      <c r="H43" s="54" t="s">
        <v>29</v>
      </c>
      <c r="I43" s="57" t="s">
        <v>70</v>
      </c>
      <c r="J43" s="14" t="s">
        <v>171</v>
      </c>
      <c r="K43" s="11" t="s">
        <v>32</v>
      </c>
      <c r="L43" s="11" t="s">
        <v>32</v>
      </c>
      <c r="M43" s="11" t="s">
        <v>32</v>
      </c>
      <c r="N43" s="73" t="s">
        <v>32</v>
      </c>
      <c r="O43" s="71" t="s">
        <v>125</v>
      </c>
      <c r="P43" s="88" t="s">
        <v>126</v>
      </c>
      <c r="Q43" s="71" t="s">
        <v>35</v>
      </c>
      <c r="R43" s="71" t="s">
        <v>127</v>
      </c>
      <c r="S43" s="24" t="s">
        <v>172</v>
      </c>
    </row>
    <row r="44" spans="1:19" x14ac:dyDescent="0.25">
      <c r="A44" s="61" t="s">
        <v>167</v>
      </c>
      <c r="B44" s="87" t="s">
        <v>168</v>
      </c>
      <c r="C44" s="61" t="s">
        <v>177</v>
      </c>
      <c r="D44" s="61" t="s">
        <v>53</v>
      </c>
      <c r="E44" s="61" t="s">
        <v>170</v>
      </c>
      <c r="F44" s="61" t="s">
        <v>55</v>
      </c>
      <c r="G44" s="54" t="s">
        <v>28</v>
      </c>
      <c r="H44" s="54" t="s">
        <v>29</v>
      </c>
      <c r="I44" s="57" t="s">
        <v>70</v>
      </c>
      <c r="J44" s="14" t="s">
        <v>171</v>
      </c>
      <c r="K44" s="11" t="s">
        <v>32</v>
      </c>
      <c r="L44" s="11" t="s">
        <v>32</v>
      </c>
      <c r="M44" s="11" t="s">
        <v>32</v>
      </c>
      <c r="N44" s="73" t="s">
        <v>32</v>
      </c>
      <c r="O44" s="71" t="s">
        <v>174</v>
      </c>
      <c r="P44" s="88" t="s">
        <v>59</v>
      </c>
      <c r="Q44" s="71" t="s">
        <v>35</v>
      </c>
      <c r="R44" s="71" t="s">
        <v>175</v>
      </c>
      <c r="S44" s="24" t="s">
        <v>172</v>
      </c>
    </row>
    <row r="45" spans="1:19" x14ac:dyDescent="0.25">
      <c r="A45" s="61" t="s">
        <v>167</v>
      </c>
      <c r="B45" s="87" t="s">
        <v>168</v>
      </c>
      <c r="C45" s="61" t="s">
        <v>178</v>
      </c>
      <c r="D45" s="61" t="s">
        <v>53</v>
      </c>
      <c r="E45" s="61" t="s">
        <v>170</v>
      </c>
      <c r="F45" s="59" t="s">
        <v>76</v>
      </c>
      <c r="G45" s="54" t="s">
        <v>28</v>
      </c>
      <c r="H45" s="54" t="s">
        <v>29</v>
      </c>
      <c r="I45" s="57" t="s">
        <v>70</v>
      </c>
      <c r="J45" s="14" t="s">
        <v>171</v>
      </c>
      <c r="K45" s="11" t="s">
        <v>32</v>
      </c>
      <c r="L45" s="11" t="s">
        <v>32</v>
      </c>
      <c r="M45" s="11" t="s">
        <v>32</v>
      </c>
      <c r="N45" s="73" t="s">
        <v>32</v>
      </c>
      <c r="O45" s="71" t="s">
        <v>77</v>
      </c>
      <c r="P45" s="79" t="s">
        <v>42</v>
      </c>
      <c r="Q45" s="79" t="s">
        <v>42</v>
      </c>
      <c r="R45" s="79" t="s">
        <v>42</v>
      </c>
      <c r="S45" s="9" t="str">
        <f>HYPERLINK(CONCATENATE("https://www.analog.com/", A45, "/datasheet"))</f>
        <v>https://www.analog.com/AD648S/datasheet</v>
      </c>
    </row>
    <row r="46" spans="1:19" x14ac:dyDescent="0.25">
      <c r="A46" s="61" t="s">
        <v>179</v>
      </c>
      <c r="B46" s="87" t="s">
        <v>180</v>
      </c>
      <c r="C46" s="61" t="s">
        <v>181</v>
      </c>
      <c r="D46" s="61" t="s">
        <v>81</v>
      </c>
      <c r="E46" s="61" t="s">
        <v>82</v>
      </c>
      <c r="F46" s="61" t="s">
        <v>55</v>
      </c>
      <c r="G46" s="54" t="s">
        <v>28</v>
      </c>
      <c r="H46" s="54" t="s">
        <v>29</v>
      </c>
      <c r="I46" s="11" t="s">
        <v>32</v>
      </c>
      <c r="J46" s="11" t="s">
        <v>32</v>
      </c>
      <c r="K46" s="11" t="s">
        <v>32</v>
      </c>
      <c r="L46" s="11" t="s">
        <v>32</v>
      </c>
      <c r="M46" s="11" t="s">
        <v>32</v>
      </c>
      <c r="N46" s="73" t="s">
        <v>32</v>
      </c>
      <c r="O46" s="71" t="s">
        <v>182</v>
      </c>
      <c r="P46" s="88" t="s">
        <v>34</v>
      </c>
      <c r="Q46" s="71" t="s">
        <v>35</v>
      </c>
      <c r="R46" s="71" t="s">
        <v>183</v>
      </c>
      <c r="S46" s="9" t="s">
        <v>184</v>
      </c>
    </row>
    <row r="47" spans="1:19" x14ac:dyDescent="0.25">
      <c r="A47" s="61" t="s">
        <v>185</v>
      </c>
      <c r="B47" s="87" t="s">
        <v>186</v>
      </c>
      <c r="C47" s="61" t="s">
        <v>187</v>
      </c>
      <c r="D47" s="61" t="s">
        <v>86</v>
      </c>
      <c r="E47" s="61" t="s">
        <v>87</v>
      </c>
      <c r="F47" s="59" t="s">
        <v>76</v>
      </c>
      <c r="G47" s="54" t="s">
        <v>28</v>
      </c>
      <c r="H47" s="54" t="s">
        <v>29</v>
      </c>
      <c r="I47" s="55" t="s">
        <v>30</v>
      </c>
      <c r="J47" s="46" t="s">
        <v>188</v>
      </c>
      <c r="K47" s="11" t="s">
        <v>32</v>
      </c>
      <c r="L47" s="11" t="s">
        <v>32</v>
      </c>
      <c r="M47" s="11" t="s">
        <v>32</v>
      </c>
      <c r="N47" s="73" t="s">
        <v>32</v>
      </c>
      <c r="O47" s="71" t="s">
        <v>77</v>
      </c>
      <c r="P47" s="79" t="s">
        <v>42</v>
      </c>
      <c r="Q47" s="79" t="s">
        <v>42</v>
      </c>
      <c r="R47" s="79" t="s">
        <v>42</v>
      </c>
      <c r="S47" s="9" t="str">
        <f t="shared" ref="S47:S53" si="0">HYPERLINK(CONCATENATE("https://www.analog.com/", A47, "/datasheet"))</f>
        <v>https://www.analog.com/AD667S/datasheet</v>
      </c>
    </row>
    <row r="48" spans="1:19" x14ac:dyDescent="0.25">
      <c r="A48" s="59" t="s">
        <v>185</v>
      </c>
      <c r="B48" s="87" t="s">
        <v>186</v>
      </c>
      <c r="C48" s="59" t="s">
        <v>189</v>
      </c>
      <c r="D48" s="61" t="s">
        <v>86</v>
      </c>
      <c r="E48" s="61" t="s">
        <v>87</v>
      </c>
      <c r="F48" s="59" t="s">
        <v>27</v>
      </c>
      <c r="G48" s="54" t="s">
        <v>28</v>
      </c>
      <c r="H48" s="54" t="s">
        <v>29</v>
      </c>
      <c r="I48" s="55" t="s">
        <v>30</v>
      </c>
      <c r="J48" s="8" t="s">
        <v>190</v>
      </c>
      <c r="K48" s="11" t="s">
        <v>32</v>
      </c>
      <c r="L48" s="11" t="s">
        <v>32</v>
      </c>
      <c r="M48" s="11" t="s">
        <v>32</v>
      </c>
      <c r="N48" s="73" t="s">
        <v>32</v>
      </c>
      <c r="O48" s="71" t="s">
        <v>33</v>
      </c>
      <c r="P48" s="88" t="s">
        <v>34</v>
      </c>
      <c r="Q48" s="71" t="s">
        <v>35</v>
      </c>
      <c r="R48" s="71" t="s">
        <v>36</v>
      </c>
      <c r="S48" s="9" t="str">
        <f t="shared" si="0"/>
        <v>https://www.analog.com/AD667S/datasheet</v>
      </c>
    </row>
    <row r="49" spans="1:19" x14ac:dyDescent="0.25">
      <c r="A49" s="59" t="s">
        <v>185</v>
      </c>
      <c r="B49" s="87" t="s">
        <v>186</v>
      </c>
      <c r="C49" s="59" t="s">
        <v>191</v>
      </c>
      <c r="D49" s="61" t="s">
        <v>86</v>
      </c>
      <c r="E49" s="61" t="s">
        <v>87</v>
      </c>
      <c r="F49" s="59" t="s">
        <v>27</v>
      </c>
      <c r="G49" s="54" t="s">
        <v>28</v>
      </c>
      <c r="H49" s="54" t="s">
        <v>29</v>
      </c>
      <c r="I49" s="55" t="s">
        <v>30</v>
      </c>
      <c r="J49" s="8" t="s">
        <v>190</v>
      </c>
      <c r="K49" s="11" t="s">
        <v>32</v>
      </c>
      <c r="L49" s="11" t="s">
        <v>32</v>
      </c>
      <c r="M49" s="11" t="s">
        <v>32</v>
      </c>
      <c r="N49" s="73" t="s">
        <v>32</v>
      </c>
      <c r="O49" s="71" t="s">
        <v>192</v>
      </c>
      <c r="P49" s="88" t="s">
        <v>34</v>
      </c>
      <c r="Q49" s="71" t="s">
        <v>35</v>
      </c>
      <c r="R49" s="71" t="s">
        <v>39</v>
      </c>
      <c r="S49" s="9" t="str">
        <f t="shared" si="0"/>
        <v>https://www.analog.com/AD667S/datasheet</v>
      </c>
    </row>
    <row r="50" spans="1:19" x14ac:dyDescent="0.25">
      <c r="A50" s="59" t="s">
        <v>185</v>
      </c>
      <c r="B50" s="87" t="s">
        <v>186</v>
      </c>
      <c r="C50" s="59" t="s">
        <v>193</v>
      </c>
      <c r="D50" s="61" t="s">
        <v>86</v>
      </c>
      <c r="E50" s="61" t="s">
        <v>87</v>
      </c>
      <c r="F50" s="59" t="s">
        <v>27</v>
      </c>
      <c r="G50" s="54" t="s">
        <v>28</v>
      </c>
      <c r="H50" s="54" t="s">
        <v>29</v>
      </c>
      <c r="I50" s="55" t="s">
        <v>30</v>
      </c>
      <c r="J50" s="8" t="s">
        <v>190</v>
      </c>
      <c r="K50" s="11" t="s">
        <v>32</v>
      </c>
      <c r="L50" s="11" t="s">
        <v>32</v>
      </c>
      <c r="M50" s="11" t="s">
        <v>32</v>
      </c>
      <c r="N50" s="73" t="s">
        <v>32</v>
      </c>
      <c r="O50" s="71" t="s">
        <v>192</v>
      </c>
      <c r="P50" s="88" t="s">
        <v>34</v>
      </c>
      <c r="Q50" s="71" t="s">
        <v>35</v>
      </c>
      <c r="R50" s="71" t="s">
        <v>39</v>
      </c>
      <c r="S50" s="9" t="str">
        <f t="shared" si="0"/>
        <v>https://www.analog.com/AD667S/datasheet</v>
      </c>
    </row>
    <row r="51" spans="1:19" x14ac:dyDescent="0.25">
      <c r="A51" s="61" t="s">
        <v>185</v>
      </c>
      <c r="B51" s="87" t="s">
        <v>186</v>
      </c>
      <c r="C51" s="61" t="s">
        <v>194</v>
      </c>
      <c r="D51" s="61" t="s">
        <v>86</v>
      </c>
      <c r="E51" s="61" t="s">
        <v>87</v>
      </c>
      <c r="F51" s="10" t="s">
        <v>41</v>
      </c>
      <c r="G51" s="54" t="s">
        <v>28</v>
      </c>
      <c r="H51" s="11" t="s">
        <v>42</v>
      </c>
      <c r="I51" s="11" t="s">
        <v>42</v>
      </c>
      <c r="J51" s="11" t="s">
        <v>42</v>
      </c>
      <c r="K51" s="11" t="s">
        <v>42</v>
      </c>
      <c r="L51" s="11" t="s">
        <v>42</v>
      </c>
      <c r="M51" s="11" t="s">
        <v>42</v>
      </c>
      <c r="N51" s="73" t="s">
        <v>42</v>
      </c>
      <c r="O51" s="71" t="s">
        <v>33</v>
      </c>
      <c r="P51" s="88" t="s">
        <v>34</v>
      </c>
      <c r="Q51" s="71" t="s">
        <v>35</v>
      </c>
      <c r="R51" s="71" t="s">
        <v>36</v>
      </c>
      <c r="S51" s="9" t="str">
        <f t="shared" si="0"/>
        <v>https://www.analog.com/AD667S/datasheet</v>
      </c>
    </row>
    <row r="52" spans="1:19" x14ac:dyDescent="0.25">
      <c r="A52" s="61" t="s">
        <v>185</v>
      </c>
      <c r="B52" s="87" t="s">
        <v>186</v>
      </c>
      <c r="C52" s="61" t="s">
        <v>195</v>
      </c>
      <c r="D52" s="61" t="s">
        <v>86</v>
      </c>
      <c r="E52" s="61" t="s">
        <v>87</v>
      </c>
      <c r="F52" s="10" t="s">
        <v>41</v>
      </c>
      <c r="G52" s="54" t="s">
        <v>28</v>
      </c>
      <c r="H52" s="11" t="s">
        <v>42</v>
      </c>
      <c r="I52" s="11" t="s">
        <v>42</v>
      </c>
      <c r="J52" s="11" t="s">
        <v>42</v>
      </c>
      <c r="K52" s="11" t="s">
        <v>42</v>
      </c>
      <c r="L52" s="11" t="s">
        <v>42</v>
      </c>
      <c r="M52" s="11" t="s">
        <v>42</v>
      </c>
      <c r="N52" s="73" t="s">
        <v>42</v>
      </c>
      <c r="O52" s="71" t="s">
        <v>192</v>
      </c>
      <c r="P52" s="88" t="s">
        <v>34</v>
      </c>
      <c r="Q52" s="71" t="s">
        <v>35</v>
      </c>
      <c r="R52" s="71" t="s">
        <v>39</v>
      </c>
      <c r="S52" s="9" t="str">
        <f t="shared" si="0"/>
        <v>https://www.analog.com/AD667S/datasheet</v>
      </c>
    </row>
    <row r="53" spans="1:19" x14ac:dyDescent="0.25">
      <c r="A53" s="59" t="s">
        <v>196</v>
      </c>
      <c r="B53" s="87" t="s">
        <v>197</v>
      </c>
      <c r="C53" s="59" t="s">
        <v>198</v>
      </c>
      <c r="D53" s="61" t="s">
        <v>25</v>
      </c>
      <c r="E53" s="61" t="s">
        <v>26</v>
      </c>
      <c r="F53" s="59" t="s">
        <v>27</v>
      </c>
      <c r="G53" s="54" t="s">
        <v>28</v>
      </c>
      <c r="H53" s="54" t="s">
        <v>29</v>
      </c>
      <c r="I53" s="55" t="s">
        <v>30</v>
      </c>
      <c r="J53" s="8" t="s">
        <v>199</v>
      </c>
      <c r="K53" s="11" t="s">
        <v>32</v>
      </c>
      <c r="L53" s="11" t="s">
        <v>32</v>
      </c>
      <c r="M53" s="11" t="s">
        <v>32</v>
      </c>
      <c r="N53" s="73" t="s">
        <v>32</v>
      </c>
      <c r="O53" s="71" t="s">
        <v>200</v>
      </c>
      <c r="P53" s="88" t="s">
        <v>34</v>
      </c>
      <c r="Q53" s="71" t="s">
        <v>35</v>
      </c>
      <c r="R53" s="71" t="s">
        <v>201</v>
      </c>
      <c r="S53" s="9" t="str">
        <f t="shared" si="0"/>
        <v>https://www.analog.com/AD670S/datasheet</v>
      </c>
    </row>
    <row r="54" spans="1:19" x14ac:dyDescent="0.25">
      <c r="A54" s="61" t="s">
        <v>202</v>
      </c>
      <c r="B54" s="87" t="s">
        <v>203</v>
      </c>
      <c r="C54" s="61" t="s">
        <v>204</v>
      </c>
      <c r="D54" s="61" t="s">
        <v>205</v>
      </c>
      <c r="E54" s="61" t="s">
        <v>206</v>
      </c>
      <c r="F54" s="61" t="s">
        <v>55</v>
      </c>
      <c r="G54" s="54" t="s">
        <v>28</v>
      </c>
      <c r="H54" s="54" t="s">
        <v>56</v>
      </c>
      <c r="I54" s="57">
        <v>100</v>
      </c>
      <c r="J54" s="14" t="s">
        <v>207</v>
      </c>
      <c r="K54" s="57">
        <v>83</v>
      </c>
      <c r="L54" s="14" t="s">
        <v>208</v>
      </c>
      <c r="M54" s="11" t="s">
        <v>32</v>
      </c>
      <c r="N54" s="73" t="s">
        <v>32</v>
      </c>
      <c r="O54" s="71" t="s">
        <v>114</v>
      </c>
      <c r="P54" s="88" t="s">
        <v>59</v>
      </c>
      <c r="Q54" s="71" t="s">
        <v>35</v>
      </c>
      <c r="R54" s="71" t="s">
        <v>115</v>
      </c>
      <c r="S54" s="9" t="s">
        <v>209</v>
      </c>
    </row>
    <row r="55" spans="1:19" x14ac:dyDescent="0.25">
      <c r="A55" s="61" t="s">
        <v>202</v>
      </c>
      <c r="B55" s="87" t="s">
        <v>203</v>
      </c>
      <c r="C55" s="61" t="s">
        <v>210</v>
      </c>
      <c r="D55" s="61" t="s">
        <v>205</v>
      </c>
      <c r="E55" s="61" t="s">
        <v>206</v>
      </c>
      <c r="F55" s="10" t="s">
        <v>41</v>
      </c>
      <c r="G55" s="54" t="s">
        <v>28</v>
      </c>
      <c r="H55" s="11" t="s">
        <v>42</v>
      </c>
      <c r="I55" s="11" t="s">
        <v>42</v>
      </c>
      <c r="J55" s="11" t="s">
        <v>42</v>
      </c>
      <c r="K55" s="11" t="s">
        <v>42</v>
      </c>
      <c r="L55" s="11" t="s">
        <v>42</v>
      </c>
      <c r="M55" s="11" t="s">
        <v>42</v>
      </c>
      <c r="N55" s="73" t="s">
        <v>42</v>
      </c>
      <c r="O55" s="71" t="s">
        <v>119</v>
      </c>
      <c r="P55" s="88" t="s">
        <v>59</v>
      </c>
      <c r="Q55" s="71" t="s">
        <v>35</v>
      </c>
      <c r="R55" s="71" t="s">
        <v>115</v>
      </c>
      <c r="S55" s="9" t="str">
        <f>HYPERLINK(CONCATENATE("https://www.analog.com/", A55, "/datasheet"))</f>
        <v>https://www.analog.com/AD768S/datasheet</v>
      </c>
    </row>
    <row r="56" spans="1:19" x14ac:dyDescent="0.25">
      <c r="A56" s="59" t="s">
        <v>211</v>
      </c>
      <c r="B56" s="87" t="s">
        <v>212</v>
      </c>
      <c r="C56" s="59" t="s">
        <v>213</v>
      </c>
      <c r="D56" s="61" t="s">
        <v>53</v>
      </c>
      <c r="E56" s="61" t="s">
        <v>214</v>
      </c>
      <c r="F56" s="61" t="s">
        <v>55</v>
      </c>
      <c r="G56" s="54" t="s">
        <v>28</v>
      </c>
      <c r="H56" s="54" t="s">
        <v>56</v>
      </c>
      <c r="I56" s="55">
        <v>50</v>
      </c>
      <c r="J56" s="14" t="s">
        <v>215</v>
      </c>
      <c r="K56" s="55">
        <v>82</v>
      </c>
      <c r="L56" s="8" t="s">
        <v>216</v>
      </c>
      <c r="M56" s="11" t="s">
        <v>32</v>
      </c>
      <c r="N56" s="73" t="s">
        <v>32</v>
      </c>
      <c r="O56" s="71" t="s">
        <v>217</v>
      </c>
      <c r="P56" s="88" t="s">
        <v>59</v>
      </c>
      <c r="Q56" s="71" t="s">
        <v>35</v>
      </c>
      <c r="R56" s="71" t="s">
        <v>218</v>
      </c>
      <c r="S56" s="24" t="s">
        <v>219</v>
      </c>
    </row>
    <row r="57" spans="1:19" x14ac:dyDescent="0.25">
      <c r="A57" s="61" t="s">
        <v>211</v>
      </c>
      <c r="B57" s="87" t="s">
        <v>212</v>
      </c>
      <c r="C57" s="61" t="s">
        <v>220</v>
      </c>
      <c r="D57" s="61" t="s">
        <v>53</v>
      </c>
      <c r="E57" s="61" t="s">
        <v>214</v>
      </c>
      <c r="F57" s="61" t="s">
        <v>55</v>
      </c>
      <c r="G57" s="54" t="s">
        <v>28</v>
      </c>
      <c r="H57" s="54" t="s">
        <v>56</v>
      </c>
      <c r="I57" s="57">
        <v>100</v>
      </c>
      <c r="J57" s="14" t="s">
        <v>221</v>
      </c>
      <c r="K57" s="57">
        <v>82</v>
      </c>
      <c r="L57" s="8" t="s">
        <v>216</v>
      </c>
      <c r="M57" s="11" t="s">
        <v>32</v>
      </c>
      <c r="N57" s="73" t="s">
        <v>32</v>
      </c>
      <c r="O57" s="71" t="s">
        <v>217</v>
      </c>
      <c r="P57" s="88" t="s">
        <v>59</v>
      </c>
      <c r="Q57" s="71" t="s">
        <v>35</v>
      </c>
      <c r="R57" s="71" t="s">
        <v>218</v>
      </c>
      <c r="S57" s="24" t="s">
        <v>219</v>
      </c>
    </row>
    <row r="58" spans="1:19" x14ac:dyDescent="0.25">
      <c r="A58" s="61" t="s">
        <v>211</v>
      </c>
      <c r="B58" s="87" t="s">
        <v>212</v>
      </c>
      <c r="C58" s="61" t="s">
        <v>222</v>
      </c>
      <c r="D58" s="61" t="s">
        <v>53</v>
      </c>
      <c r="E58" s="61" t="s">
        <v>214</v>
      </c>
      <c r="F58" s="61" t="s">
        <v>55</v>
      </c>
      <c r="G58" s="54" t="s">
        <v>28</v>
      </c>
      <c r="H58" s="54" t="s">
        <v>56</v>
      </c>
      <c r="I58" s="57">
        <v>100</v>
      </c>
      <c r="J58" s="14" t="s">
        <v>221</v>
      </c>
      <c r="K58" s="57">
        <v>82</v>
      </c>
      <c r="L58" s="8" t="s">
        <v>216</v>
      </c>
      <c r="M58" s="11" t="s">
        <v>32</v>
      </c>
      <c r="N58" s="73" t="s">
        <v>32</v>
      </c>
      <c r="O58" s="71" t="s">
        <v>174</v>
      </c>
      <c r="P58" s="88" t="s">
        <v>59</v>
      </c>
      <c r="Q58" s="71" t="s">
        <v>35</v>
      </c>
      <c r="R58" s="71" t="s">
        <v>223</v>
      </c>
      <c r="S58" s="24" t="s">
        <v>219</v>
      </c>
    </row>
    <row r="59" spans="1:19" x14ac:dyDescent="0.25">
      <c r="A59" s="61" t="s">
        <v>211</v>
      </c>
      <c r="B59" s="87" t="s">
        <v>212</v>
      </c>
      <c r="C59" s="61" t="s">
        <v>224</v>
      </c>
      <c r="D59" s="61" t="s">
        <v>53</v>
      </c>
      <c r="E59" s="61" t="s">
        <v>214</v>
      </c>
      <c r="F59" s="10" t="s">
        <v>41</v>
      </c>
      <c r="G59" s="54" t="s">
        <v>28</v>
      </c>
      <c r="H59" s="11" t="s">
        <v>42</v>
      </c>
      <c r="I59" s="11" t="s">
        <v>42</v>
      </c>
      <c r="J59" s="11" t="s">
        <v>42</v>
      </c>
      <c r="K59" s="11" t="s">
        <v>42</v>
      </c>
      <c r="L59" s="11" t="s">
        <v>42</v>
      </c>
      <c r="M59" s="11" t="s">
        <v>42</v>
      </c>
      <c r="N59" s="73" t="s">
        <v>42</v>
      </c>
      <c r="O59" s="71" t="s">
        <v>217</v>
      </c>
      <c r="P59" s="88" t="s">
        <v>59</v>
      </c>
      <c r="Q59" s="71" t="s">
        <v>35</v>
      </c>
      <c r="R59" s="71" t="s">
        <v>218</v>
      </c>
      <c r="S59" s="9" t="str">
        <f>HYPERLINK(CONCATENATE("https://www.analog.com/", A59, "/datasheet"))</f>
        <v>https://www.analog.com/AD8001S/datasheet</v>
      </c>
    </row>
    <row r="60" spans="1:19" x14ac:dyDescent="0.25">
      <c r="A60" s="61" t="s">
        <v>225</v>
      </c>
      <c r="B60" s="87" t="s">
        <v>226</v>
      </c>
      <c r="C60" s="61" t="s">
        <v>227</v>
      </c>
      <c r="D60" s="61" t="s">
        <v>53</v>
      </c>
      <c r="E60" s="61" t="s">
        <v>228</v>
      </c>
      <c r="F60" s="61" t="s">
        <v>55</v>
      </c>
      <c r="G60" s="54" t="s">
        <v>28</v>
      </c>
      <c r="H60" s="54" t="s">
        <v>56</v>
      </c>
      <c r="I60" s="57">
        <v>50</v>
      </c>
      <c r="J60" s="14" t="s">
        <v>229</v>
      </c>
      <c r="K60" s="11" t="s">
        <v>32</v>
      </c>
      <c r="L60" s="11" t="s">
        <v>32</v>
      </c>
      <c r="M60" s="89">
        <v>2000000000000</v>
      </c>
      <c r="N60" s="74" t="s">
        <v>230</v>
      </c>
      <c r="O60" s="71" t="s">
        <v>217</v>
      </c>
      <c r="P60" s="88" t="s">
        <v>59</v>
      </c>
      <c r="Q60" s="71" t="s">
        <v>35</v>
      </c>
      <c r="R60" s="71" t="s">
        <v>218</v>
      </c>
      <c r="S60" s="24" t="s">
        <v>231</v>
      </c>
    </row>
    <row r="61" spans="1:19" x14ac:dyDescent="0.25">
      <c r="A61" s="61" t="s">
        <v>225</v>
      </c>
      <c r="B61" s="87" t="s">
        <v>226</v>
      </c>
      <c r="C61" s="61" t="s">
        <v>232</v>
      </c>
      <c r="D61" s="61" t="s">
        <v>53</v>
      </c>
      <c r="E61" s="61" t="s">
        <v>228</v>
      </c>
      <c r="F61" s="61" t="s">
        <v>55</v>
      </c>
      <c r="G61" s="54" t="s">
        <v>28</v>
      </c>
      <c r="H61" s="54" t="s">
        <v>56</v>
      </c>
      <c r="I61" s="57">
        <v>100</v>
      </c>
      <c r="J61" s="14" t="s">
        <v>233</v>
      </c>
      <c r="K61" s="11" t="s">
        <v>32</v>
      </c>
      <c r="L61" s="11" t="s">
        <v>32</v>
      </c>
      <c r="M61" s="89">
        <v>2000000000000</v>
      </c>
      <c r="N61" s="74" t="s">
        <v>230</v>
      </c>
      <c r="O61" s="71" t="s">
        <v>217</v>
      </c>
      <c r="P61" s="88" t="s">
        <v>59</v>
      </c>
      <c r="Q61" s="71" t="s">
        <v>35</v>
      </c>
      <c r="R61" s="71" t="s">
        <v>218</v>
      </c>
      <c r="S61" s="24" t="s">
        <v>231</v>
      </c>
    </row>
    <row r="62" spans="1:19" x14ac:dyDescent="0.25">
      <c r="A62" s="61" t="s">
        <v>225</v>
      </c>
      <c r="B62" s="87" t="s">
        <v>226</v>
      </c>
      <c r="C62" s="61" t="s">
        <v>234</v>
      </c>
      <c r="D62" s="61" t="s">
        <v>53</v>
      </c>
      <c r="E62" s="61" t="s">
        <v>228</v>
      </c>
      <c r="F62" s="61" t="s">
        <v>55</v>
      </c>
      <c r="G62" s="54" t="s">
        <v>28</v>
      </c>
      <c r="H62" s="54" t="s">
        <v>56</v>
      </c>
      <c r="I62" s="57">
        <v>100</v>
      </c>
      <c r="J62" s="14" t="s">
        <v>233</v>
      </c>
      <c r="K62" s="11" t="s">
        <v>32</v>
      </c>
      <c r="L62" s="11" t="s">
        <v>32</v>
      </c>
      <c r="M62" s="89">
        <v>2000000000000</v>
      </c>
      <c r="N62" s="74" t="s">
        <v>230</v>
      </c>
      <c r="O62" s="71" t="s">
        <v>174</v>
      </c>
      <c r="P62" s="88" t="s">
        <v>59</v>
      </c>
      <c r="Q62" s="71" t="s">
        <v>35</v>
      </c>
      <c r="R62" s="71" t="s">
        <v>223</v>
      </c>
      <c r="S62" s="24" t="s">
        <v>231</v>
      </c>
    </row>
    <row r="63" spans="1:19" x14ac:dyDescent="0.25">
      <c r="A63" s="61" t="s">
        <v>225</v>
      </c>
      <c r="B63" s="87" t="s">
        <v>226</v>
      </c>
      <c r="C63" s="61" t="s">
        <v>235</v>
      </c>
      <c r="D63" s="61" t="s">
        <v>53</v>
      </c>
      <c r="E63" s="61" t="s">
        <v>228</v>
      </c>
      <c r="F63" s="59" t="s">
        <v>76</v>
      </c>
      <c r="G63" s="54" t="s">
        <v>28</v>
      </c>
      <c r="H63" s="54" t="s">
        <v>29</v>
      </c>
      <c r="I63" s="55" t="s">
        <v>30</v>
      </c>
      <c r="J63" s="14" t="s">
        <v>233</v>
      </c>
      <c r="K63" s="11" t="s">
        <v>32</v>
      </c>
      <c r="L63" s="11" t="s">
        <v>32</v>
      </c>
      <c r="M63" s="89">
        <v>2000000000001</v>
      </c>
      <c r="N63" s="74" t="s">
        <v>230</v>
      </c>
      <c r="O63" s="71" t="s">
        <v>77</v>
      </c>
      <c r="P63" s="79" t="s">
        <v>42</v>
      </c>
      <c r="Q63" s="79" t="s">
        <v>42</v>
      </c>
      <c r="R63" s="79" t="s">
        <v>42</v>
      </c>
      <c r="S63" s="9" t="str">
        <f>HYPERLINK(CONCATENATE("https://www.analog.com/", A63, "/datasheet"))</f>
        <v>https://www.analog.com/AD8041S/datasheet</v>
      </c>
    </row>
    <row r="64" spans="1:19" x14ac:dyDescent="0.25">
      <c r="A64" s="61" t="s">
        <v>225</v>
      </c>
      <c r="B64" s="87" t="s">
        <v>226</v>
      </c>
      <c r="C64" s="61" t="s">
        <v>236</v>
      </c>
      <c r="D64" s="61" t="s">
        <v>53</v>
      </c>
      <c r="E64" s="61" t="s">
        <v>228</v>
      </c>
      <c r="F64" s="10" t="s">
        <v>41</v>
      </c>
      <c r="G64" s="54" t="s">
        <v>28</v>
      </c>
      <c r="H64" s="11" t="s">
        <v>42</v>
      </c>
      <c r="I64" s="11" t="s">
        <v>42</v>
      </c>
      <c r="J64" s="16" t="s">
        <v>42</v>
      </c>
      <c r="K64" s="11" t="s">
        <v>42</v>
      </c>
      <c r="L64" s="11" t="s">
        <v>42</v>
      </c>
      <c r="M64" s="11" t="s">
        <v>42</v>
      </c>
      <c r="N64" s="73" t="s">
        <v>42</v>
      </c>
      <c r="O64" s="71" t="s">
        <v>217</v>
      </c>
      <c r="P64" s="88" t="s">
        <v>59</v>
      </c>
      <c r="Q64" s="71" t="s">
        <v>35</v>
      </c>
      <c r="R64" s="71" t="s">
        <v>218</v>
      </c>
      <c r="S64" s="9" t="str">
        <f>HYPERLINK(CONCATENATE("https://www.analog.com/", A64, "/datasheet"))</f>
        <v>https://www.analog.com/AD8041S/datasheet</v>
      </c>
    </row>
    <row r="65" spans="1:19" x14ac:dyDescent="0.25">
      <c r="A65" s="61" t="s">
        <v>237</v>
      </c>
      <c r="B65" s="87" t="s">
        <v>238</v>
      </c>
      <c r="C65" s="61" t="s">
        <v>239</v>
      </c>
      <c r="D65" s="61" t="s">
        <v>53</v>
      </c>
      <c r="E65" s="61" t="s">
        <v>240</v>
      </c>
      <c r="F65" s="61" t="s">
        <v>55</v>
      </c>
      <c r="G65" s="54" t="s">
        <v>28</v>
      </c>
      <c r="H65" s="54" t="s">
        <v>56</v>
      </c>
      <c r="I65" s="57">
        <v>50</v>
      </c>
      <c r="J65" s="14" t="s">
        <v>241</v>
      </c>
      <c r="K65" s="11" t="s">
        <v>32</v>
      </c>
      <c r="L65" s="11" t="s">
        <v>32</v>
      </c>
      <c r="M65" s="11" t="s">
        <v>32</v>
      </c>
      <c r="N65" s="73" t="s">
        <v>32</v>
      </c>
      <c r="O65" s="71" t="s">
        <v>217</v>
      </c>
      <c r="P65" s="88" t="s">
        <v>59</v>
      </c>
      <c r="Q65" s="71" t="s">
        <v>35</v>
      </c>
      <c r="R65" s="71" t="s">
        <v>218</v>
      </c>
      <c r="S65" s="24" t="s">
        <v>242</v>
      </c>
    </row>
    <row r="66" spans="1:19" x14ac:dyDescent="0.25">
      <c r="A66" s="61" t="s">
        <v>237</v>
      </c>
      <c r="B66" s="87" t="s">
        <v>238</v>
      </c>
      <c r="C66" s="61" t="s">
        <v>243</v>
      </c>
      <c r="D66" s="61" t="s">
        <v>53</v>
      </c>
      <c r="E66" s="61" t="s">
        <v>240</v>
      </c>
      <c r="F66" s="61" t="s">
        <v>55</v>
      </c>
      <c r="G66" s="54" t="s">
        <v>28</v>
      </c>
      <c r="H66" s="54" t="s">
        <v>56</v>
      </c>
      <c r="I66" s="57">
        <v>100</v>
      </c>
      <c r="J66" s="8" t="s">
        <v>244</v>
      </c>
      <c r="K66" s="11" t="s">
        <v>32</v>
      </c>
      <c r="L66" s="11" t="s">
        <v>32</v>
      </c>
      <c r="M66" s="11" t="s">
        <v>32</v>
      </c>
      <c r="N66" s="73" t="s">
        <v>32</v>
      </c>
      <c r="O66" s="71" t="s">
        <v>217</v>
      </c>
      <c r="P66" s="88" t="s">
        <v>59</v>
      </c>
      <c r="Q66" s="71" t="s">
        <v>35</v>
      </c>
      <c r="R66" s="71" t="s">
        <v>218</v>
      </c>
      <c r="S66" s="24" t="s">
        <v>242</v>
      </c>
    </row>
    <row r="67" spans="1:19" x14ac:dyDescent="0.25">
      <c r="A67" s="61" t="s">
        <v>237</v>
      </c>
      <c r="B67" s="87" t="s">
        <v>238</v>
      </c>
      <c r="C67" s="86" t="s">
        <v>245</v>
      </c>
      <c r="D67" s="61" t="s">
        <v>53</v>
      </c>
      <c r="E67" s="61" t="s">
        <v>240</v>
      </c>
      <c r="F67" s="10" t="s">
        <v>41</v>
      </c>
      <c r="G67" s="54" t="s">
        <v>28</v>
      </c>
      <c r="H67" s="11" t="s">
        <v>42</v>
      </c>
      <c r="I67" s="11" t="s">
        <v>42</v>
      </c>
      <c r="J67" s="11" t="s">
        <v>42</v>
      </c>
      <c r="K67" s="11" t="s">
        <v>42</v>
      </c>
      <c r="L67" s="11" t="s">
        <v>42</v>
      </c>
      <c r="M67" s="11" t="s">
        <v>42</v>
      </c>
      <c r="N67" s="73" t="s">
        <v>42</v>
      </c>
      <c r="O67" s="71" t="s">
        <v>217</v>
      </c>
      <c r="P67" s="88" t="s">
        <v>59</v>
      </c>
      <c r="Q67" s="71" t="s">
        <v>35</v>
      </c>
      <c r="R67" s="71" t="s">
        <v>218</v>
      </c>
      <c r="S67" s="9" t="str">
        <f>HYPERLINK(CONCATENATE("https://www.analog.com/", A67, "/datasheet"))</f>
        <v>https://www.analog.com/AD8138S/datasheet</v>
      </c>
    </row>
    <row r="68" spans="1:19" x14ac:dyDescent="0.25">
      <c r="A68" s="61" t="s">
        <v>246</v>
      </c>
      <c r="B68" s="87" t="s">
        <v>247</v>
      </c>
      <c r="C68" s="61" t="s">
        <v>248</v>
      </c>
      <c r="D68" s="61" t="s">
        <v>249</v>
      </c>
      <c r="E68" s="61" t="s">
        <v>250</v>
      </c>
      <c r="F68" s="61" t="s">
        <v>55</v>
      </c>
      <c r="G68" s="54" t="s">
        <v>28</v>
      </c>
      <c r="H68" s="54" t="s">
        <v>56</v>
      </c>
      <c r="I68" s="57">
        <v>50</v>
      </c>
      <c r="J68" s="14" t="s">
        <v>251</v>
      </c>
      <c r="K68" s="57">
        <v>83</v>
      </c>
      <c r="L68" s="14" t="s">
        <v>252</v>
      </c>
      <c r="M68" s="11" t="s">
        <v>32</v>
      </c>
      <c r="N68" s="73" t="s">
        <v>32</v>
      </c>
      <c r="O68" s="71" t="s">
        <v>253</v>
      </c>
      <c r="P68" s="88" t="s">
        <v>59</v>
      </c>
      <c r="Q68" s="71" t="s">
        <v>35</v>
      </c>
      <c r="R68" s="71" t="s">
        <v>254</v>
      </c>
      <c r="S68" s="24" t="s">
        <v>255</v>
      </c>
    </row>
    <row r="69" spans="1:19" x14ac:dyDescent="0.25">
      <c r="A69" s="61" t="s">
        <v>246</v>
      </c>
      <c r="B69" s="87" t="s">
        <v>247</v>
      </c>
      <c r="C69" s="61" t="s">
        <v>256</v>
      </c>
      <c r="D69" s="61" t="s">
        <v>249</v>
      </c>
      <c r="E69" s="61" t="s">
        <v>250</v>
      </c>
      <c r="F69" s="61" t="s">
        <v>55</v>
      </c>
      <c r="G69" s="54" t="s">
        <v>28</v>
      </c>
      <c r="H69" s="54" t="s">
        <v>56</v>
      </c>
      <c r="I69" s="57">
        <v>100</v>
      </c>
      <c r="J69" s="8" t="s">
        <v>257</v>
      </c>
      <c r="K69" s="57">
        <v>83</v>
      </c>
      <c r="L69" s="14" t="s">
        <v>252</v>
      </c>
      <c r="M69" s="11" t="s">
        <v>32</v>
      </c>
      <c r="N69" s="73" t="s">
        <v>32</v>
      </c>
      <c r="O69" s="71" t="s">
        <v>253</v>
      </c>
      <c r="P69" s="88" t="s">
        <v>59</v>
      </c>
      <c r="Q69" s="71" t="s">
        <v>35</v>
      </c>
      <c r="R69" s="71" t="s">
        <v>254</v>
      </c>
      <c r="S69" s="24" t="s">
        <v>255</v>
      </c>
    </row>
    <row r="70" spans="1:19" x14ac:dyDescent="0.25">
      <c r="A70" s="61" t="s">
        <v>246</v>
      </c>
      <c r="B70" s="87" t="s">
        <v>247</v>
      </c>
      <c r="C70" s="61" t="s">
        <v>258</v>
      </c>
      <c r="D70" s="61" t="s">
        <v>249</v>
      </c>
      <c r="E70" s="61" t="s">
        <v>250</v>
      </c>
      <c r="F70" s="10" t="s">
        <v>41</v>
      </c>
      <c r="G70" s="54" t="s">
        <v>28</v>
      </c>
      <c r="H70" s="11" t="s">
        <v>42</v>
      </c>
      <c r="I70" s="11" t="s">
        <v>42</v>
      </c>
      <c r="J70" s="16" t="s">
        <v>42</v>
      </c>
      <c r="K70" s="11" t="s">
        <v>42</v>
      </c>
      <c r="L70" s="11" t="s">
        <v>42</v>
      </c>
      <c r="M70" s="11" t="s">
        <v>42</v>
      </c>
      <c r="N70" s="73" t="s">
        <v>42</v>
      </c>
      <c r="O70" s="71" t="s">
        <v>253</v>
      </c>
      <c r="P70" s="88" t="s">
        <v>59</v>
      </c>
      <c r="Q70" s="71" t="s">
        <v>35</v>
      </c>
      <c r="R70" s="71" t="s">
        <v>254</v>
      </c>
      <c r="S70" s="9" t="str">
        <f>HYPERLINK(CONCATENATE("https://www.analog.com/", A70, "/datasheet"))</f>
        <v>https://www.analog.com/AD8182S/datasheet</v>
      </c>
    </row>
    <row r="71" spans="1:19" x14ac:dyDescent="0.25">
      <c r="A71" s="61" t="s">
        <v>259</v>
      </c>
      <c r="B71" s="87" t="s">
        <v>260</v>
      </c>
      <c r="C71" s="61" t="s">
        <v>261</v>
      </c>
      <c r="D71" s="61" t="s">
        <v>53</v>
      </c>
      <c r="E71" s="61" t="s">
        <v>262</v>
      </c>
      <c r="F71" s="61" t="s">
        <v>55</v>
      </c>
      <c r="G71" s="54" t="s">
        <v>28</v>
      </c>
      <c r="H71" s="54" t="s">
        <v>56</v>
      </c>
      <c r="I71" s="57">
        <v>50</v>
      </c>
      <c r="J71" s="14" t="s">
        <v>263</v>
      </c>
      <c r="K71" s="57">
        <v>80</v>
      </c>
      <c r="L71" s="14" t="s">
        <v>264</v>
      </c>
      <c r="M71" s="11" t="s">
        <v>32</v>
      </c>
      <c r="N71" s="73" t="s">
        <v>32</v>
      </c>
      <c r="O71" s="71" t="s">
        <v>217</v>
      </c>
      <c r="P71" s="88" t="s">
        <v>59</v>
      </c>
      <c r="Q71" s="71" t="s">
        <v>35</v>
      </c>
      <c r="R71" s="71" t="s">
        <v>265</v>
      </c>
      <c r="S71" s="24" t="s">
        <v>266</v>
      </c>
    </row>
    <row r="72" spans="1:19" x14ac:dyDescent="0.25">
      <c r="A72" s="61" t="s">
        <v>259</v>
      </c>
      <c r="B72" s="87" t="s">
        <v>260</v>
      </c>
      <c r="C72" s="61" t="s">
        <v>267</v>
      </c>
      <c r="D72" s="61" t="s">
        <v>53</v>
      </c>
      <c r="E72" s="61" t="s">
        <v>262</v>
      </c>
      <c r="F72" s="61" t="s">
        <v>55</v>
      </c>
      <c r="G72" s="54" t="s">
        <v>28</v>
      </c>
      <c r="H72" s="54" t="s">
        <v>56</v>
      </c>
      <c r="I72" s="57">
        <v>100</v>
      </c>
      <c r="J72" s="14" t="s">
        <v>268</v>
      </c>
      <c r="K72" s="57">
        <v>80</v>
      </c>
      <c r="L72" s="14" t="s">
        <v>264</v>
      </c>
      <c r="M72" s="11" t="s">
        <v>32</v>
      </c>
      <c r="N72" s="73" t="s">
        <v>32</v>
      </c>
      <c r="O72" s="71" t="s">
        <v>217</v>
      </c>
      <c r="P72" s="88" t="s">
        <v>59</v>
      </c>
      <c r="Q72" s="71" t="s">
        <v>35</v>
      </c>
      <c r="R72" s="71" t="s">
        <v>265</v>
      </c>
      <c r="S72" s="24" t="s">
        <v>266</v>
      </c>
    </row>
    <row r="73" spans="1:19" x14ac:dyDescent="0.25">
      <c r="A73" s="61" t="s">
        <v>259</v>
      </c>
      <c r="B73" s="87" t="s">
        <v>260</v>
      </c>
      <c r="C73" s="61" t="s">
        <v>269</v>
      </c>
      <c r="D73" s="61" t="s">
        <v>53</v>
      </c>
      <c r="E73" s="61" t="s">
        <v>262</v>
      </c>
      <c r="F73" s="10" t="s">
        <v>41</v>
      </c>
      <c r="G73" s="54" t="s">
        <v>28</v>
      </c>
      <c r="H73" s="11" t="s">
        <v>42</v>
      </c>
      <c r="I73" s="11" t="s">
        <v>42</v>
      </c>
      <c r="J73" s="16" t="s">
        <v>42</v>
      </c>
      <c r="K73" s="11" t="s">
        <v>42</v>
      </c>
      <c r="L73" s="11" t="s">
        <v>42</v>
      </c>
      <c r="M73" s="11" t="s">
        <v>42</v>
      </c>
      <c r="N73" s="73" t="s">
        <v>42</v>
      </c>
      <c r="O73" s="71" t="s">
        <v>217</v>
      </c>
      <c r="P73" s="88" t="s">
        <v>59</v>
      </c>
      <c r="Q73" s="71" t="s">
        <v>35</v>
      </c>
      <c r="R73" s="71" t="s">
        <v>265</v>
      </c>
      <c r="S73" s="9" t="str">
        <f>HYPERLINK(CONCATENATE("https://www.analog.com/", A73, "/datasheet"))</f>
        <v>https://www.analog.com/AD8210S/datasheet</v>
      </c>
    </row>
    <row r="74" spans="1:19" x14ac:dyDescent="0.25">
      <c r="A74" s="61" t="s">
        <v>270</v>
      </c>
      <c r="B74" s="87" t="s">
        <v>271</v>
      </c>
      <c r="C74" s="61" t="s">
        <v>272</v>
      </c>
      <c r="D74" s="61" t="s">
        <v>53</v>
      </c>
      <c r="E74" s="61" t="s">
        <v>262</v>
      </c>
      <c r="F74" s="61" t="s">
        <v>55</v>
      </c>
      <c r="G74" s="54" t="s">
        <v>28</v>
      </c>
      <c r="H74" s="54" t="s">
        <v>56</v>
      </c>
      <c r="I74" s="57">
        <v>50</v>
      </c>
      <c r="J74" s="14" t="s">
        <v>273</v>
      </c>
      <c r="K74" s="57">
        <v>80</v>
      </c>
      <c r="L74" s="8" t="s">
        <v>274</v>
      </c>
      <c r="M74" s="89">
        <v>607000000000</v>
      </c>
      <c r="N74" s="74" t="s">
        <v>275</v>
      </c>
      <c r="O74" s="71" t="s">
        <v>217</v>
      </c>
      <c r="P74" s="88" t="s">
        <v>59</v>
      </c>
      <c r="Q74" s="71" t="s">
        <v>35</v>
      </c>
      <c r="R74" s="71" t="s">
        <v>218</v>
      </c>
      <c r="S74" s="24" t="s">
        <v>276</v>
      </c>
    </row>
    <row r="75" spans="1:19" x14ac:dyDescent="0.25">
      <c r="A75" s="61" t="s">
        <v>270</v>
      </c>
      <c r="B75" s="87" t="s">
        <v>271</v>
      </c>
      <c r="C75" s="61" t="s">
        <v>277</v>
      </c>
      <c r="D75" s="61" t="s">
        <v>53</v>
      </c>
      <c r="E75" s="61" t="s">
        <v>262</v>
      </c>
      <c r="F75" s="61" t="s">
        <v>55</v>
      </c>
      <c r="G75" s="54" t="s">
        <v>28</v>
      </c>
      <c r="H75" s="54" t="s">
        <v>56</v>
      </c>
      <c r="I75" s="57">
        <v>100</v>
      </c>
      <c r="J75" s="14" t="s">
        <v>278</v>
      </c>
      <c r="K75" s="57">
        <v>80</v>
      </c>
      <c r="L75" s="8" t="s">
        <v>274</v>
      </c>
      <c r="M75" s="89">
        <v>607000000000</v>
      </c>
      <c r="N75" s="74" t="s">
        <v>275</v>
      </c>
      <c r="O75" s="71" t="s">
        <v>217</v>
      </c>
      <c r="P75" s="88" t="s">
        <v>59</v>
      </c>
      <c r="Q75" s="71" t="s">
        <v>35</v>
      </c>
      <c r="R75" s="71" t="s">
        <v>218</v>
      </c>
      <c r="S75" s="24" t="s">
        <v>276</v>
      </c>
    </row>
    <row r="76" spans="1:19" x14ac:dyDescent="0.25">
      <c r="A76" s="61" t="s">
        <v>270</v>
      </c>
      <c r="B76" s="87" t="s">
        <v>271</v>
      </c>
      <c r="C76" s="61" t="s">
        <v>279</v>
      </c>
      <c r="D76" s="61" t="s">
        <v>53</v>
      </c>
      <c r="E76" s="61" t="s">
        <v>262</v>
      </c>
      <c r="F76" s="10" t="s">
        <v>41</v>
      </c>
      <c r="G76" s="54" t="s">
        <v>28</v>
      </c>
      <c r="H76" s="11" t="s">
        <v>42</v>
      </c>
      <c r="I76" s="11" t="s">
        <v>42</v>
      </c>
      <c r="J76" s="11" t="s">
        <v>42</v>
      </c>
      <c r="K76" s="16" t="s">
        <v>42</v>
      </c>
      <c r="L76" s="11" t="s">
        <v>42</v>
      </c>
      <c r="M76" s="11" t="s">
        <v>42</v>
      </c>
      <c r="N76" s="73" t="s">
        <v>42</v>
      </c>
      <c r="O76" s="71" t="s">
        <v>217</v>
      </c>
      <c r="P76" s="88" t="s">
        <v>59</v>
      </c>
      <c r="Q76" s="71" t="s">
        <v>35</v>
      </c>
      <c r="R76" s="71" t="s">
        <v>218</v>
      </c>
      <c r="S76" s="9" t="str">
        <f>HYPERLINK(CONCATENATE("https://www.analog.com/", A76, "/datasheet"))</f>
        <v>https://www.analog.com/AD8212S/datasheet</v>
      </c>
    </row>
    <row r="77" spans="1:19" x14ac:dyDescent="0.25">
      <c r="A77" s="59" t="s">
        <v>280</v>
      </c>
      <c r="B77" s="87" t="s">
        <v>281</v>
      </c>
      <c r="C77" s="59" t="s">
        <v>282</v>
      </c>
      <c r="D77" s="61" t="s">
        <v>53</v>
      </c>
      <c r="E77" s="61" t="s">
        <v>54</v>
      </c>
      <c r="F77" s="61" t="s">
        <v>55</v>
      </c>
      <c r="G77" s="54" t="s">
        <v>28</v>
      </c>
      <c r="H77" s="54" t="s">
        <v>56</v>
      </c>
      <c r="I77" s="55">
        <v>50</v>
      </c>
      <c r="J77" s="8" t="s">
        <v>283</v>
      </c>
      <c r="K77" s="55">
        <v>91.5</v>
      </c>
      <c r="L77" s="8" t="s">
        <v>284</v>
      </c>
      <c r="M77" s="11" t="s">
        <v>32</v>
      </c>
      <c r="N77" s="73" t="s">
        <v>32</v>
      </c>
      <c r="O77" s="71" t="s">
        <v>253</v>
      </c>
      <c r="P77" s="88" t="s">
        <v>59</v>
      </c>
      <c r="Q77" s="71" t="s">
        <v>35</v>
      </c>
      <c r="R77" s="71" t="s">
        <v>285</v>
      </c>
      <c r="S77" s="24" t="s">
        <v>286</v>
      </c>
    </row>
    <row r="78" spans="1:19" x14ac:dyDescent="0.25">
      <c r="A78" s="61" t="s">
        <v>280</v>
      </c>
      <c r="B78" s="87" t="s">
        <v>281</v>
      </c>
      <c r="C78" s="61" t="s">
        <v>287</v>
      </c>
      <c r="D78" s="61" t="s">
        <v>53</v>
      </c>
      <c r="E78" s="61" t="s">
        <v>54</v>
      </c>
      <c r="F78" s="61" t="s">
        <v>55</v>
      </c>
      <c r="G78" s="54" t="s">
        <v>28</v>
      </c>
      <c r="H78" s="54" t="s">
        <v>56</v>
      </c>
      <c r="I78" s="57">
        <v>100</v>
      </c>
      <c r="J78" s="14" t="s">
        <v>288</v>
      </c>
      <c r="K78" s="57">
        <v>91.5</v>
      </c>
      <c r="L78" s="14" t="s">
        <v>284</v>
      </c>
      <c r="M78" s="11" t="s">
        <v>32</v>
      </c>
      <c r="N78" s="73" t="s">
        <v>32</v>
      </c>
      <c r="O78" s="71" t="s">
        <v>253</v>
      </c>
      <c r="P78" s="88" t="s">
        <v>59</v>
      </c>
      <c r="Q78" s="71" t="s">
        <v>35</v>
      </c>
      <c r="R78" s="71" t="s">
        <v>285</v>
      </c>
      <c r="S78" s="24" t="s">
        <v>286</v>
      </c>
    </row>
    <row r="79" spans="1:19" x14ac:dyDescent="0.25">
      <c r="A79" s="61" t="s">
        <v>280</v>
      </c>
      <c r="B79" s="87" t="s">
        <v>281</v>
      </c>
      <c r="C79" s="61" t="s">
        <v>289</v>
      </c>
      <c r="D79" s="61" t="s">
        <v>53</v>
      </c>
      <c r="E79" s="61" t="s">
        <v>54</v>
      </c>
      <c r="F79" s="10" t="s">
        <v>41</v>
      </c>
      <c r="G79" s="54" t="s">
        <v>28</v>
      </c>
      <c r="H79" s="11" t="s">
        <v>42</v>
      </c>
      <c r="I79" s="11" t="s">
        <v>42</v>
      </c>
      <c r="J79" s="16" t="s">
        <v>42</v>
      </c>
      <c r="K79" s="11" t="s">
        <v>42</v>
      </c>
      <c r="L79" s="11" t="s">
        <v>42</v>
      </c>
      <c r="M79" s="11" t="s">
        <v>42</v>
      </c>
      <c r="N79" s="73" t="s">
        <v>42</v>
      </c>
      <c r="O79" s="71" t="s">
        <v>253</v>
      </c>
      <c r="P79" s="88" t="s">
        <v>59</v>
      </c>
      <c r="Q79" s="71" t="s">
        <v>35</v>
      </c>
      <c r="R79" s="71" t="s">
        <v>285</v>
      </c>
      <c r="S79" s="9" t="str">
        <f>HYPERLINK(CONCATENATE("https://www.analog.com/", A79, "/datasheet"))</f>
        <v>https://www.analog.com/AD8229S/datasheet</v>
      </c>
    </row>
    <row r="80" spans="1:19" x14ac:dyDescent="0.25">
      <c r="A80" s="61" t="s">
        <v>290</v>
      </c>
      <c r="B80" s="87" t="s">
        <v>291</v>
      </c>
      <c r="C80" s="61" t="s">
        <v>292</v>
      </c>
      <c r="D80" s="61" t="s">
        <v>293</v>
      </c>
      <c r="E80" s="61" t="s">
        <v>294</v>
      </c>
      <c r="F80" s="61" t="s">
        <v>55</v>
      </c>
      <c r="G80" s="54" t="s">
        <v>28</v>
      </c>
      <c r="H80" s="54" t="s">
        <v>56</v>
      </c>
      <c r="I80" s="57">
        <v>50</v>
      </c>
      <c r="J80" s="14" t="s">
        <v>295</v>
      </c>
      <c r="K80" s="57">
        <v>87</v>
      </c>
      <c r="L80" s="14" t="s">
        <v>296</v>
      </c>
      <c r="M80" s="11" t="s">
        <v>32</v>
      </c>
      <c r="N80" s="73" t="s">
        <v>32</v>
      </c>
      <c r="O80" s="71" t="s">
        <v>297</v>
      </c>
      <c r="P80" s="88" t="s">
        <v>298</v>
      </c>
      <c r="Q80" s="71" t="s">
        <v>35</v>
      </c>
      <c r="R80" s="99" t="s">
        <v>299</v>
      </c>
      <c r="S80" s="24" t="s">
        <v>300</v>
      </c>
    </row>
    <row r="81" spans="1:19" x14ac:dyDescent="0.25">
      <c r="A81" s="61" t="s">
        <v>290</v>
      </c>
      <c r="B81" s="87" t="s">
        <v>291</v>
      </c>
      <c r="C81" s="61" t="s">
        <v>301</v>
      </c>
      <c r="D81" s="61" t="s">
        <v>293</v>
      </c>
      <c r="E81" s="61" t="s">
        <v>294</v>
      </c>
      <c r="F81" s="61" t="s">
        <v>55</v>
      </c>
      <c r="G81" s="54" t="s">
        <v>28</v>
      </c>
      <c r="H81" s="54" t="s">
        <v>56</v>
      </c>
      <c r="I81" s="57">
        <v>100</v>
      </c>
      <c r="J81" s="14" t="s">
        <v>302</v>
      </c>
      <c r="K81" s="57">
        <v>87</v>
      </c>
      <c r="L81" s="14" t="s">
        <v>296</v>
      </c>
      <c r="M81" s="11" t="s">
        <v>32</v>
      </c>
      <c r="N81" s="73" t="s">
        <v>32</v>
      </c>
      <c r="O81" s="71" t="s">
        <v>297</v>
      </c>
      <c r="P81" s="88" t="s">
        <v>298</v>
      </c>
      <c r="Q81" s="71" t="s">
        <v>35</v>
      </c>
      <c r="R81" s="99" t="s">
        <v>299</v>
      </c>
      <c r="S81" s="24" t="s">
        <v>300</v>
      </c>
    </row>
    <row r="82" spans="1:19" x14ac:dyDescent="0.25">
      <c r="A82" s="61" t="s">
        <v>290</v>
      </c>
      <c r="B82" s="87" t="s">
        <v>291</v>
      </c>
      <c r="C82" s="61" t="s">
        <v>303</v>
      </c>
      <c r="D82" s="61" t="s">
        <v>293</v>
      </c>
      <c r="E82" s="61" t="s">
        <v>294</v>
      </c>
      <c r="F82" s="10" t="s">
        <v>41</v>
      </c>
      <c r="G82" s="54" t="s">
        <v>28</v>
      </c>
      <c r="H82" s="11" t="s">
        <v>42</v>
      </c>
      <c r="I82" s="16" t="s">
        <v>42</v>
      </c>
      <c r="J82" s="16" t="s">
        <v>42</v>
      </c>
      <c r="K82" s="11" t="s">
        <v>42</v>
      </c>
      <c r="L82" s="16" t="s">
        <v>42</v>
      </c>
      <c r="M82" s="11" t="s">
        <v>42</v>
      </c>
      <c r="N82" s="73" t="s">
        <v>42</v>
      </c>
      <c r="O82" s="71" t="s">
        <v>297</v>
      </c>
      <c r="P82" s="88" t="s">
        <v>298</v>
      </c>
      <c r="Q82" s="71" t="s">
        <v>35</v>
      </c>
      <c r="R82" s="99" t="s">
        <v>299</v>
      </c>
      <c r="S82" s="9" t="str">
        <f>HYPERLINK(CONCATENATE("https://www.analog.com/", A82, "/datasheet"))</f>
        <v>https://www.analog.com/AD8306S/datasheet</v>
      </c>
    </row>
    <row r="83" spans="1:19" x14ac:dyDescent="0.25">
      <c r="A83" s="61" t="s">
        <v>304</v>
      </c>
      <c r="B83" s="87" t="s">
        <v>305</v>
      </c>
      <c r="C83" s="61" t="s">
        <v>306</v>
      </c>
      <c r="D83" s="61" t="s">
        <v>307</v>
      </c>
      <c r="E83" s="61" t="s">
        <v>308</v>
      </c>
      <c r="F83" s="61" t="s">
        <v>55</v>
      </c>
      <c r="G83" s="54" t="s">
        <v>28</v>
      </c>
      <c r="H83" s="54" t="s">
        <v>56</v>
      </c>
      <c r="I83" s="55">
        <v>50</v>
      </c>
      <c r="J83" s="14" t="s">
        <v>309</v>
      </c>
      <c r="K83" s="57">
        <v>83</v>
      </c>
      <c r="L83" s="14" t="s">
        <v>310</v>
      </c>
      <c r="M83" s="11" t="s">
        <v>32</v>
      </c>
      <c r="N83" s="73" t="s">
        <v>32</v>
      </c>
      <c r="O83" s="71" t="s">
        <v>297</v>
      </c>
      <c r="P83" s="88" t="s">
        <v>298</v>
      </c>
      <c r="Q83" s="71" t="s">
        <v>35</v>
      </c>
      <c r="R83" s="99" t="s">
        <v>299</v>
      </c>
      <c r="S83" s="24" t="s">
        <v>311</v>
      </c>
    </row>
    <row r="84" spans="1:19" x14ac:dyDescent="0.25">
      <c r="A84" s="61" t="s">
        <v>304</v>
      </c>
      <c r="B84" s="87" t="s">
        <v>305</v>
      </c>
      <c r="C84" s="61" t="s">
        <v>312</v>
      </c>
      <c r="D84" s="61" t="s">
        <v>307</v>
      </c>
      <c r="E84" s="61" t="s">
        <v>308</v>
      </c>
      <c r="F84" s="61" t="s">
        <v>55</v>
      </c>
      <c r="G84" s="54" t="s">
        <v>28</v>
      </c>
      <c r="H84" s="54" t="s">
        <v>56</v>
      </c>
      <c r="I84" s="57">
        <v>100</v>
      </c>
      <c r="J84" s="14" t="s">
        <v>313</v>
      </c>
      <c r="K84" s="57">
        <v>83</v>
      </c>
      <c r="L84" s="14" t="s">
        <v>310</v>
      </c>
      <c r="M84" s="11" t="s">
        <v>32</v>
      </c>
      <c r="N84" s="73" t="s">
        <v>32</v>
      </c>
      <c r="O84" s="71" t="s">
        <v>297</v>
      </c>
      <c r="P84" s="88" t="s">
        <v>298</v>
      </c>
      <c r="Q84" s="71" t="s">
        <v>35</v>
      </c>
      <c r="R84" s="99" t="s">
        <v>299</v>
      </c>
      <c r="S84" s="24" t="s">
        <v>311</v>
      </c>
    </row>
    <row r="85" spans="1:19" x14ac:dyDescent="0.25">
      <c r="A85" s="61" t="s">
        <v>304</v>
      </c>
      <c r="B85" s="87" t="s">
        <v>305</v>
      </c>
      <c r="C85" s="61" t="s">
        <v>314</v>
      </c>
      <c r="D85" s="61" t="s">
        <v>307</v>
      </c>
      <c r="E85" s="61" t="s">
        <v>308</v>
      </c>
      <c r="F85" s="10" t="s">
        <v>41</v>
      </c>
      <c r="G85" s="54" t="s">
        <v>28</v>
      </c>
      <c r="H85" s="11" t="s">
        <v>42</v>
      </c>
      <c r="I85" s="11" t="s">
        <v>42</v>
      </c>
      <c r="J85" s="11" t="s">
        <v>42</v>
      </c>
      <c r="K85" s="11" t="s">
        <v>42</v>
      </c>
      <c r="L85" s="11" t="s">
        <v>42</v>
      </c>
      <c r="M85" s="11" t="s">
        <v>42</v>
      </c>
      <c r="N85" s="73" t="s">
        <v>42</v>
      </c>
      <c r="O85" s="71" t="s">
        <v>297</v>
      </c>
      <c r="P85" s="88" t="s">
        <v>298</v>
      </c>
      <c r="Q85" s="71" t="s">
        <v>35</v>
      </c>
      <c r="R85" s="99" t="s">
        <v>299</v>
      </c>
      <c r="S85" s="9" t="str">
        <f>HYPERLINK(CONCATENATE("https://www.analog.com/", A85, "/datasheet"))</f>
        <v>https://www.analog.com/AD8346S/datasheet</v>
      </c>
    </row>
    <row r="86" spans="1:19" x14ac:dyDescent="0.25">
      <c r="A86" s="61" t="s">
        <v>315</v>
      </c>
      <c r="B86" s="87" t="s">
        <v>316</v>
      </c>
      <c r="C86" s="61" t="s">
        <v>317</v>
      </c>
      <c r="D86" s="61" t="s">
        <v>53</v>
      </c>
      <c r="E86" s="61" t="s">
        <v>240</v>
      </c>
      <c r="F86" s="61" t="s">
        <v>55</v>
      </c>
      <c r="G86" s="54" t="s">
        <v>28</v>
      </c>
      <c r="H86" s="54" t="s">
        <v>56</v>
      </c>
      <c r="I86" s="57">
        <v>50</v>
      </c>
      <c r="J86" s="14" t="s">
        <v>318</v>
      </c>
      <c r="K86" s="57">
        <v>83</v>
      </c>
      <c r="L86" s="14" t="s">
        <v>319</v>
      </c>
      <c r="M86" s="11" t="s">
        <v>32</v>
      </c>
      <c r="N86" s="73" t="s">
        <v>32</v>
      </c>
      <c r="O86" s="71" t="s">
        <v>58</v>
      </c>
      <c r="P86" s="88" t="s">
        <v>59</v>
      </c>
      <c r="Q86" s="71" t="s">
        <v>35</v>
      </c>
      <c r="R86" s="71" t="s">
        <v>320</v>
      </c>
      <c r="S86" s="24" t="s">
        <v>321</v>
      </c>
    </row>
    <row r="87" spans="1:19" x14ac:dyDescent="0.25">
      <c r="A87" s="61" t="s">
        <v>315</v>
      </c>
      <c r="B87" s="87" t="s">
        <v>316</v>
      </c>
      <c r="C87" s="61" t="s">
        <v>322</v>
      </c>
      <c r="D87" s="61" t="s">
        <v>53</v>
      </c>
      <c r="E87" s="61" t="s">
        <v>240</v>
      </c>
      <c r="F87" s="61" t="s">
        <v>55</v>
      </c>
      <c r="G87" s="54" t="s">
        <v>28</v>
      </c>
      <c r="H87" s="54" t="s">
        <v>56</v>
      </c>
      <c r="I87" s="57">
        <v>100</v>
      </c>
      <c r="J87" s="14" t="s">
        <v>323</v>
      </c>
      <c r="K87" s="57">
        <v>83</v>
      </c>
      <c r="L87" s="14" t="s">
        <v>319</v>
      </c>
      <c r="M87" s="11" t="s">
        <v>32</v>
      </c>
      <c r="N87" s="73" t="s">
        <v>32</v>
      </c>
      <c r="O87" s="71" t="s">
        <v>58</v>
      </c>
      <c r="P87" s="88" t="s">
        <v>59</v>
      </c>
      <c r="Q87" s="71" t="s">
        <v>35</v>
      </c>
      <c r="R87" s="71" t="s">
        <v>320</v>
      </c>
      <c r="S87" s="24" t="s">
        <v>321</v>
      </c>
    </row>
    <row r="88" spans="1:19" x14ac:dyDescent="0.25">
      <c r="A88" s="61" t="s">
        <v>315</v>
      </c>
      <c r="B88" s="87" t="s">
        <v>316</v>
      </c>
      <c r="C88" s="61" t="s">
        <v>324</v>
      </c>
      <c r="D88" s="61" t="s">
        <v>53</v>
      </c>
      <c r="E88" s="61" t="s">
        <v>240</v>
      </c>
      <c r="F88" s="10" t="s">
        <v>41</v>
      </c>
      <c r="G88" s="54" t="s">
        <v>28</v>
      </c>
      <c r="H88" s="11" t="s">
        <v>42</v>
      </c>
      <c r="I88" s="11" t="s">
        <v>42</v>
      </c>
      <c r="J88" s="11" t="s">
        <v>42</v>
      </c>
      <c r="K88" s="11" t="s">
        <v>42</v>
      </c>
      <c r="L88" s="11" t="s">
        <v>42</v>
      </c>
      <c r="M88" s="11" t="s">
        <v>42</v>
      </c>
      <c r="N88" s="73" t="s">
        <v>42</v>
      </c>
      <c r="O88" s="71" t="s">
        <v>58</v>
      </c>
      <c r="P88" s="88" t="s">
        <v>59</v>
      </c>
      <c r="Q88" s="71" t="s">
        <v>35</v>
      </c>
      <c r="R88" s="71" t="s">
        <v>320</v>
      </c>
      <c r="S88" s="9" t="str">
        <f>HYPERLINK(CONCATENATE("https://www.analog.com/", A88, "/datasheet"))</f>
        <v>https://www.analog.com/AD8351S/datasheet</v>
      </c>
    </row>
    <row r="89" spans="1:19" x14ac:dyDescent="0.25">
      <c r="A89" s="61" t="s">
        <v>325</v>
      </c>
      <c r="B89" s="87" t="s">
        <v>326</v>
      </c>
      <c r="C89" s="61" t="s">
        <v>327</v>
      </c>
      <c r="D89" s="61" t="s">
        <v>328</v>
      </c>
      <c r="E89" s="61" t="s">
        <v>329</v>
      </c>
      <c r="F89" s="10" t="s">
        <v>41</v>
      </c>
      <c r="G89" s="54" t="s">
        <v>330</v>
      </c>
      <c r="H89" s="11" t="s">
        <v>42</v>
      </c>
      <c r="I89" s="11" t="s">
        <v>42</v>
      </c>
      <c r="J89" s="11" t="s">
        <v>42</v>
      </c>
      <c r="K89" s="11" t="s">
        <v>42</v>
      </c>
      <c r="L89" s="11" t="s">
        <v>42</v>
      </c>
      <c r="M89" s="11" t="s">
        <v>42</v>
      </c>
      <c r="N89" s="73" t="s">
        <v>42</v>
      </c>
      <c r="O89" s="71" t="s">
        <v>297</v>
      </c>
      <c r="P89" s="88" t="s">
        <v>298</v>
      </c>
      <c r="Q89" s="71" t="s">
        <v>35</v>
      </c>
      <c r="R89" s="99" t="s">
        <v>299</v>
      </c>
      <c r="S89" s="9" t="str">
        <f>HYPERLINK(CONCATENATE("https://www.analog.com/", A89, "/datasheet"))</f>
        <v>https://www.analog.com/AD8367S/datasheet</v>
      </c>
    </row>
    <row r="90" spans="1:19" x14ac:dyDescent="0.25">
      <c r="A90" s="61" t="s">
        <v>325</v>
      </c>
      <c r="B90" s="87" t="s">
        <v>326</v>
      </c>
      <c r="C90" s="61" t="s">
        <v>331</v>
      </c>
      <c r="D90" s="61" t="s">
        <v>328</v>
      </c>
      <c r="E90" s="61" t="s">
        <v>329</v>
      </c>
      <c r="F90" s="59" t="s">
        <v>27</v>
      </c>
      <c r="G90" s="54" t="s">
        <v>330</v>
      </c>
      <c r="H90" s="54" t="s">
        <v>29</v>
      </c>
      <c r="I90" s="57" t="s">
        <v>70</v>
      </c>
      <c r="J90" s="14" t="s">
        <v>332</v>
      </c>
      <c r="K90" s="11" t="s">
        <v>32</v>
      </c>
      <c r="L90" s="11" t="s">
        <v>32</v>
      </c>
      <c r="M90" s="11" t="s">
        <v>32</v>
      </c>
      <c r="N90" s="73" t="s">
        <v>32</v>
      </c>
      <c r="O90" s="71" t="s">
        <v>333</v>
      </c>
      <c r="P90" s="88" t="s">
        <v>34</v>
      </c>
      <c r="Q90" s="71" t="s">
        <v>35</v>
      </c>
      <c r="R90" s="71" t="s">
        <v>334</v>
      </c>
      <c r="S90" s="9" t="str">
        <f>HYPERLINK(CONCATENATE("https://www.analog.com/", A90, "/datasheet"))</f>
        <v>https://www.analog.com/AD8367S/datasheet</v>
      </c>
    </row>
    <row r="91" spans="1:19" x14ac:dyDescent="0.25">
      <c r="A91" s="61" t="s">
        <v>325</v>
      </c>
      <c r="B91" s="87" t="s">
        <v>326</v>
      </c>
      <c r="C91" s="61" t="s">
        <v>335</v>
      </c>
      <c r="D91" s="61" t="s">
        <v>328</v>
      </c>
      <c r="E91" s="61" t="s">
        <v>329</v>
      </c>
      <c r="F91" s="59" t="s">
        <v>27</v>
      </c>
      <c r="G91" s="54" t="s">
        <v>330</v>
      </c>
      <c r="H91" s="54" t="s">
        <v>56</v>
      </c>
      <c r="I91" s="57">
        <v>100</v>
      </c>
      <c r="J91" s="15" t="s">
        <v>336</v>
      </c>
      <c r="K91" s="11" t="s">
        <v>32</v>
      </c>
      <c r="L91" s="11" t="s">
        <v>32</v>
      </c>
      <c r="M91" s="11" t="s">
        <v>32</v>
      </c>
      <c r="N91" s="73" t="s">
        <v>32</v>
      </c>
      <c r="O91" s="71" t="s">
        <v>333</v>
      </c>
      <c r="P91" s="88" t="s">
        <v>34</v>
      </c>
      <c r="Q91" s="71" t="s">
        <v>35</v>
      </c>
      <c r="R91" s="71" t="s">
        <v>334</v>
      </c>
      <c r="S91" s="9" t="str">
        <f>HYPERLINK(CONCATENATE("https://www.analog.com/", A91, "/datasheet"))</f>
        <v>https://www.analog.com/AD8367S/datasheet</v>
      </c>
    </row>
    <row r="92" spans="1:19" x14ac:dyDescent="0.25">
      <c r="A92" s="61" t="s">
        <v>337</v>
      </c>
      <c r="B92" s="87" t="s">
        <v>338</v>
      </c>
      <c r="C92" s="61" t="s">
        <v>339</v>
      </c>
      <c r="D92" s="61" t="s">
        <v>53</v>
      </c>
      <c r="E92" s="61" t="s">
        <v>214</v>
      </c>
      <c r="F92" s="61" t="s">
        <v>55</v>
      </c>
      <c r="G92" s="54" t="s">
        <v>28</v>
      </c>
      <c r="H92" s="54" t="s">
        <v>56</v>
      </c>
      <c r="I92" s="57">
        <v>50</v>
      </c>
      <c r="J92" s="14" t="s">
        <v>340</v>
      </c>
      <c r="K92" s="11" t="s">
        <v>32</v>
      </c>
      <c r="L92" s="11" t="s">
        <v>32</v>
      </c>
      <c r="M92" s="11" t="s">
        <v>32</v>
      </c>
      <c r="N92" s="73" t="s">
        <v>32</v>
      </c>
      <c r="O92" s="71" t="s">
        <v>174</v>
      </c>
      <c r="P92" s="88" t="s">
        <v>59</v>
      </c>
      <c r="Q92" s="71" t="s">
        <v>35</v>
      </c>
      <c r="R92" s="71" t="s">
        <v>223</v>
      </c>
      <c r="S92" s="24" t="s">
        <v>341</v>
      </c>
    </row>
    <row r="93" spans="1:19" x14ac:dyDescent="0.25">
      <c r="A93" s="61" t="s">
        <v>337</v>
      </c>
      <c r="B93" s="87" t="s">
        <v>338</v>
      </c>
      <c r="C93" s="61" t="s">
        <v>342</v>
      </c>
      <c r="D93" s="61" t="s">
        <v>53</v>
      </c>
      <c r="E93" s="61" t="s">
        <v>214</v>
      </c>
      <c r="F93" s="61" t="s">
        <v>55</v>
      </c>
      <c r="G93" s="54" t="s">
        <v>28</v>
      </c>
      <c r="H93" s="54" t="s">
        <v>56</v>
      </c>
      <c r="I93" s="57">
        <v>100</v>
      </c>
      <c r="J93" s="8" t="s">
        <v>343</v>
      </c>
      <c r="K93" s="11" t="s">
        <v>32</v>
      </c>
      <c r="L93" s="11" t="s">
        <v>32</v>
      </c>
      <c r="M93" s="11" t="s">
        <v>32</v>
      </c>
      <c r="N93" s="73" t="s">
        <v>32</v>
      </c>
      <c r="O93" s="71" t="s">
        <v>174</v>
      </c>
      <c r="P93" s="88" t="s">
        <v>59</v>
      </c>
      <c r="Q93" s="71" t="s">
        <v>35</v>
      </c>
      <c r="R93" s="71" t="s">
        <v>223</v>
      </c>
      <c r="S93" s="24" t="s">
        <v>341</v>
      </c>
    </row>
    <row r="94" spans="1:19" x14ac:dyDescent="0.25">
      <c r="A94" s="61" t="s">
        <v>344</v>
      </c>
      <c r="B94" s="87" t="s">
        <v>345</v>
      </c>
      <c r="C94" s="61" t="s">
        <v>346</v>
      </c>
      <c r="D94" s="61" t="s">
        <v>68</v>
      </c>
      <c r="E94" s="61" t="s">
        <v>347</v>
      </c>
      <c r="F94" s="61" t="s">
        <v>55</v>
      </c>
      <c r="G94" s="54" t="s">
        <v>28</v>
      </c>
      <c r="H94" s="54" t="s">
        <v>29</v>
      </c>
      <c r="I94" s="57" t="s">
        <v>30</v>
      </c>
      <c r="J94" s="14" t="s">
        <v>348</v>
      </c>
      <c r="K94" s="11" t="s">
        <v>32</v>
      </c>
      <c r="L94" s="11" t="s">
        <v>32</v>
      </c>
      <c r="M94" s="11" t="s">
        <v>32</v>
      </c>
      <c r="N94" s="73" t="s">
        <v>32</v>
      </c>
      <c r="O94" s="71" t="s">
        <v>174</v>
      </c>
      <c r="P94" s="88" t="s">
        <v>59</v>
      </c>
      <c r="Q94" s="71" t="s">
        <v>35</v>
      </c>
      <c r="R94" s="71" t="s">
        <v>223</v>
      </c>
      <c r="S94" s="24" t="s">
        <v>349</v>
      </c>
    </row>
    <row r="95" spans="1:19" x14ac:dyDescent="0.25">
      <c r="A95" s="61" t="s">
        <v>344</v>
      </c>
      <c r="B95" s="87" t="s">
        <v>345</v>
      </c>
      <c r="C95" s="61" t="s">
        <v>350</v>
      </c>
      <c r="D95" s="61" t="s">
        <v>68</v>
      </c>
      <c r="E95" s="61" t="s">
        <v>347</v>
      </c>
      <c r="F95" s="61" t="s">
        <v>55</v>
      </c>
      <c r="G95" s="54" t="s">
        <v>28</v>
      </c>
      <c r="H95" s="54" t="s">
        <v>56</v>
      </c>
      <c r="I95" s="57">
        <v>50</v>
      </c>
      <c r="J95" s="15" t="s">
        <v>351</v>
      </c>
      <c r="K95" s="11" t="s">
        <v>32</v>
      </c>
      <c r="L95" s="11" t="s">
        <v>32</v>
      </c>
      <c r="M95" s="11" t="s">
        <v>32</v>
      </c>
      <c r="N95" s="73" t="s">
        <v>32</v>
      </c>
      <c r="O95" s="71" t="s">
        <v>217</v>
      </c>
      <c r="P95" s="88" t="s">
        <v>59</v>
      </c>
      <c r="Q95" s="71" t="s">
        <v>35</v>
      </c>
      <c r="R95" s="71" t="s">
        <v>218</v>
      </c>
      <c r="S95" s="24" t="s">
        <v>349</v>
      </c>
    </row>
    <row r="96" spans="1:19" x14ac:dyDescent="0.25">
      <c r="A96" s="61" t="s">
        <v>344</v>
      </c>
      <c r="B96" s="87" t="s">
        <v>345</v>
      </c>
      <c r="C96" s="61" t="s">
        <v>352</v>
      </c>
      <c r="D96" s="61" t="s">
        <v>68</v>
      </c>
      <c r="E96" s="61" t="s">
        <v>347</v>
      </c>
      <c r="F96" s="61" t="s">
        <v>55</v>
      </c>
      <c r="G96" s="54" t="s">
        <v>28</v>
      </c>
      <c r="H96" s="54" t="s">
        <v>56</v>
      </c>
      <c r="I96" s="57">
        <v>100</v>
      </c>
      <c r="J96" s="15" t="s">
        <v>348</v>
      </c>
      <c r="K96" s="11" t="s">
        <v>32</v>
      </c>
      <c r="L96" s="11" t="s">
        <v>32</v>
      </c>
      <c r="M96" s="11" t="s">
        <v>32</v>
      </c>
      <c r="N96" s="73" t="s">
        <v>32</v>
      </c>
      <c r="O96" s="71" t="s">
        <v>217</v>
      </c>
      <c r="P96" s="88" t="s">
        <v>59</v>
      </c>
      <c r="Q96" s="71" t="s">
        <v>35</v>
      </c>
      <c r="R96" s="71" t="s">
        <v>218</v>
      </c>
      <c r="S96" s="24" t="s">
        <v>349</v>
      </c>
    </row>
    <row r="97" spans="1:19" x14ac:dyDescent="0.25">
      <c r="A97" s="61" t="s">
        <v>344</v>
      </c>
      <c r="B97" s="87" t="s">
        <v>345</v>
      </c>
      <c r="C97" s="61" t="s">
        <v>353</v>
      </c>
      <c r="D97" s="61" t="s">
        <v>68</v>
      </c>
      <c r="E97" s="61" t="s">
        <v>347</v>
      </c>
      <c r="F97" s="61" t="s">
        <v>55</v>
      </c>
      <c r="G97" s="54" t="s">
        <v>28</v>
      </c>
      <c r="H97" s="54" t="s">
        <v>56</v>
      </c>
      <c r="I97" s="57">
        <v>100</v>
      </c>
      <c r="J97" s="15" t="s">
        <v>348</v>
      </c>
      <c r="K97" s="11" t="s">
        <v>32</v>
      </c>
      <c r="L97" s="11" t="s">
        <v>32</v>
      </c>
      <c r="M97" s="11" t="s">
        <v>32</v>
      </c>
      <c r="N97" s="73" t="s">
        <v>32</v>
      </c>
      <c r="O97" s="71" t="s">
        <v>174</v>
      </c>
      <c r="P97" s="88" t="s">
        <v>59</v>
      </c>
      <c r="Q97" s="71" t="s">
        <v>35</v>
      </c>
      <c r="R97" s="71" t="s">
        <v>223</v>
      </c>
      <c r="S97" s="24" t="s">
        <v>349</v>
      </c>
    </row>
    <row r="98" spans="1:19" x14ac:dyDescent="0.25">
      <c r="A98" s="61" t="s">
        <v>344</v>
      </c>
      <c r="B98" s="87" t="s">
        <v>345</v>
      </c>
      <c r="C98" s="61" t="s">
        <v>354</v>
      </c>
      <c r="D98" s="61" t="s">
        <v>68</v>
      </c>
      <c r="E98" s="61" t="s">
        <v>347</v>
      </c>
      <c r="F98" s="10" t="s">
        <v>41</v>
      </c>
      <c r="G98" s="54" t="s">
        <v>28</v>
      </c>
      <c r="H98" s="11" t="s">
        <v>42</v>
      </c>
      <c r="I98" s="11" t="s">
        <v>42</v>
      </c>
      <c r="J98" s="11" t="s">
        <v>42</v>
      </c>
      <c r="K98" s="11" t="s">
        <v>42</v>
      </c>
      <c r="L98" s="11" t="s">
        <v>42</v>
      </c>
      <c r="M98" s="11" t="s">
        <v>42</v>
      </c>
      <c r="N98" s="73" t="s">
        <v>42</v>
      </c>
      <c r="O98" s="71" t="s">
        <v>217</v>
      </c>
      <c r="P98" s="88" t="s">
        <v>59</v>
      </c>
      <c r="Q98" s="71" t="s">
        <v>35</v>
      </c>
      <c r="R98" s="71" t="s">
        <v>218</v>
      </c>
      <c r="S98" s="9" t="str">
        <f>HYPERLINK(CONCATENATE("https://www.analog.com/", A98, "/datasheet"))</f>
        <v>https://www.analog.com/AD8561S/datasheet</v>
      </c>
    </row>
    <row r="99" spans="1:19" x14ac:dyDescent="0.25">
      <c r="A99" s="61" t="s">
        <v>355</v>
      </c>
      <c r="B99" s="87" t="s">
        <v>356</v>
      </c>
      <c r="C99" s="61" t="s">
        <v>357</v>
      </c>
      <c r="D99" s="61" t="s">
        <v>53</v>
      </c>
      <c r="E99" s="61" t="s">
        <v>358</v>
      </c>
      <c r="F99" s="10" t="s">
        <v>41</v>
      </c>
      <c r="G99" s="54" t="s">
        <v>28</v>
      </c>
      <c r="H99" s="11" t="s">
        <v>42</v>
      </c>
      <c r="I99" s="11" t="s">
        <v>42</v>
      </c>
      <c r="J99" s="11" t="s">
        <v>42</v>
      </c>
      <c r="K99" s="11" t="s">
        <v>42</v>
      </c>
      <c r="L99" s="11" t="s">
        <v>42</v>
      </c>
      <c r="M99" s="11" t="s">
        <v>42</v>
      </c>
      <c r="N99" s="73" t="s">
        <v>42</v>
      </c>
      <c r="O99" s="71" t="s">
        <v>217</v>
      </c>
      <c r="P99" s="88" t="s">
        <v>59</v>
      </c>
      <c r="Q99" s="71" t="s">
        <v>35</v>
      </c>
      <c r="R99" s="71" t="s">
        <v>218</v>
      </c>
      <c r="S99" s="9" t="str">
        <f>HYPERLINK(CONCATENATE("https://www.analog.com/", A99, "/datasheet"))</f>
        <v>https://www.analog.com/AD8629S/datasheet</v>
      </c>
    </row>
    <row r="100" spans="1:19" x14ac:dyDescent="0.25">
      <c r="A100" s="61" t="s">
        <v>355</v>
      </c>
      <c r="B100" s="87" t="s">
        <v>356</v>
      </c>
      <c r="C100" s="61" t="s">
        <v>359</v>
      </c>
      <c r="D100" s="61" t="s">
        <v>53</v>
      </c>
      <c r="E100" s="61" t="s">
        <v>358</v>
      </c>
      <c r="F100" s="59" t="s">
        <v>27</v>
      </c>
      <c r="G100" s="54" t="s">
        <v>28</v>
      </c>
      <c r="H100" s="54" t="s">
        <v>56</v>
      </c>
      <c r="I100" s="57">
        <v>10</v>
      </c>
      <c r="J100" s="15" t="s">
        <v>360</v>
      </c>
      <c r="K100" s="57">
        <v>58.8</v>
      </c>
      <c r="L100" s="14" t="s">
        <v>361</v>
      </c>
      <c r="M100" s="11" t="s">
        <v>32</v>
      </c>
      <c r="N100" s="73" t="s">
        <v>32</v>
      </c>
      <c r="O100" s="71" t="s">
        <v>217</v>
      </c>
      <c r="P100" s="88" t="s">
        <v>59</v>
      </c>
      <c r="Q100" s="71" t="s">
        <v>35</v>
      </c>
      <c r="R100" s="71" t="s">
        <v>218</v>
      </c>
      <c r="S100" s="9" t="str">
        <f>HYPERLINK(CONCATENATE("https://www.analog.com/", A100, "/datasheet"))</f>
        <v>https://www.analog.com/AD8629S/datasheet</v>
      </c>
    </row>
    <row r="101" spans="1:19" x14ac:dyDescent="0.25">
      <c r="A101" s="61" t="s">
        <v>362</v>
      </c>
      <c r="B101" s="87" t="s">
        <v>363</v>
      </c>
      <c r="C101" s="61" t="s">
        <v>364</v>
      </c>
      <c r="D101" s="61" t="s">
        <v>53</v>
      </c>
      <c r="E101" s="61" t="s">
        <v>365</v>
      </c>
      <c r="F101" s="61" t="s">
        <v>55</v>
      </c>
      <c r="G101" s="54" t="s">
        <v>28</v>
      </c>
      <c r="H101" s="54" t="s">
        <v>56</v>
      </c>
      <c r="I101" s="57">
        <v>50</v>
      </c>
      <c r="J101" s="15" t="s">
        <v>366</v>
      </c>
      <c r="K101" s="57">
        <v>55</v>
      </c>
      <c r="L101" s="14" t="s">
        <v>367</v>
      </c>
      <c r="M101" s="11" t="s">
        <v>32</v>
      </c>
      <c r="N101" s="73" t="s">
        <v>32</v>
      </c>
      <c r="O101" s="71" t="s">
        <v>217</v>
      </c>
      <c r="P101" s="88" t="s">
        <v>59</v>
      </c>
      <c r="Q101" s="71" t="s">
        <v>35</v>
      </c>
      <c r="R101" s="71" t="s">
        <v>218</v>
      </c>
      <c r="S101" s="24" t="s">
        <v>368</v>
      </c>
    </row>
    <row r="102" spans="1:19" x14ac:dyDescent="0.25">
      <c r="A102" s="61" t="s">
        <v>362</v>
      </c>
      <c r="B102" s="87" t="s">
        <v>363</v>
      </c>
      <c r="C102" s="61" t="s">
        <v>369</v>
      </c>
      <c r="D102" s="61" t="s">
        <v>53</v>
      </c>
      <c r="E102" s="61" t="s">
        <v>365</v>
      </c>
      <c r="F102" s="10" t="s">
        <v>41</v>
      </c>
      <c r="G102" s="54" t="s">
        <v>28</v>
      </c>
      <c r="H102" s="11" t="s">
        <v>42</v>
      </c>
      <c r="I102" s="11" t="s">
        <v>42</v>
      </c>
      <c r="J102" s="11" t="s">
        <v>42</v>
      </c>
      <c r="K102" s="11" t="s">
        <v>42</v>
      </c>
      <c r="L102" s="11" t="s">
        <v>42</v>
      </c>
      <c r="M102" s="11" t="s">
        <v>42</v>
      </c>
      <c r="N102" s="73" t="s">
        <v>42</v>
      </c>
      <c r="O102" s="71" t="s">
        <v>217</v>
      </c>
      <c r="P102" s="88" t="s">
        <v>59</v>
      </c>
      <c r="Q102" s="71" t="s">
        <v>35</v>
      </c>
      <c r="R102" s="71" t="s">
        <v>218</v>
      </c>
      <c r="S102" s="9" t="str">
        <f>HYPERLINK(CONCATENATE("https://www.analog.com/", A102, "/datasheet"))</f>
        <v>https://www.analog.com/AD8671S/datasheet</v>
      </c>
    </row>
    <row r="103" spans="1:19" x14ac:dyDescent="0.25">
      <c r="A103" s="61" t="s">
        <v>370</v>
      </c>
      <c r="B103" s="87" t="s">
        <v>371</v>
      </c>
      <c r="C103" s="61" t="s">
        <v>372</v>
      </c>
      <c r="D103" s="61" t="s">
        <v>373</v>
      </c>
      <c r="E103" s="61" t="s">
        <v>374</v>
      </c>
      <c r="F103" s="61" t="s">
        <v>55</v>
      </c>
      <c r="G103" s="54" t="s">
        <v>28</v>
      </c>
      <c r="H103" s="54" t="s">
        <v>56</v>
      </c>
      <c r="I103" s="57">
        <v>50</v>
      </c>
      <c r="J103" s="14" t="s">
        <v>375</v>
      </c>
      <c r="K103" s="11" t="s">
        <v>32</v>
      </c>
      <c r="L103" s="11" t="s">
        <v>32</v>
      </c>
      <c r="M103" s="11" t="s">
        <v>32</v>
      </c>
      <c r="N103" s="73" t="s">
        <v>32</v>
      </c>
      <c r="O103" s="71" t="s">
        <v>114</v>
      </c>
      <c r="P103" s="88" t="s">
        <v>59</v>
      </c>
      <c r="Q103" s="71" t="s">
        <v>35</v>
      </c>
      <c r="R103" s="71" t="s">
        <v>115</v>
      </c>
      <c r="S103" s="24" t="s">
        <v>376</v>
      </c>
    </row>
    <row r="104" spans="1:19" x14ac:dyDescent="0.25">
      <c r="A104" s="61" t="s">
        <v>370</v>
      </c>
      <c r="B104" s="87" t="s">
        <v>371</v>
      </c>
      <c r="C104" s="61" t="s">
        <v>377</v>
      </c>
      <c r="D104" s="61" t="s">
        <v>373</v>
      </c>
      <c r="E104" s="61" t="s">
        <v>374</v>
      </c>
      <c r="F104" s="61" t="s">
        <v>55</v>
      </c>
      <c r="G104" s="54" t="s">
        <v>28</v>
      </c>
      <c r="H104" s="54" t="s">
        <v>56</v>
      </c>
      <c r="I104" s="57">
        <v>100</v>
      </c>
      <c r="J104" s="8" t="s">
        <v>378</v>
      </c>
      <c r="K104" s="11" t="s">
        <v>32</v>
      </c>
      <c r="L104" s="11" t="s">
        <v>32</v>
      </c>
      <c r="M104" s="11" t="s">
        <v>32</v>
      </c>
      <c r="N104" s="73" t="s">
        <v>32</v>
      </c>
      <c r="O104" s="71" t="s">
        <v>110</v>
      </c>
      <c r="P104" s="88" t="s">
        <v>59</v>
      </c>
      <c r="Q104" s="71" t="s">
        <v>35</v>
      </c>
      <c r="R104" s="71" t="s">
        <v>111</v>
      </c>
      <c r="S104" s="24" t="s">
        <v>376</v>
      </c>
    </row>
    <row r="105" spans="1:19" x14ac:dyDescent="0.25">
      <c r="A105" s="61" t="s">
        <v>370</v>
      </c>
      <c r="B105" s="87" t="s">
        <v>371</v>
      </c>
      <c r="C105" s="61" t="s">
        <v>379</v>
      </c>
      <c r="D105" s="61" t="s">
        <v>373</v>
      </c>
      <c r="E105" s="61" t="s">
        <v>374</v>
      </c>
      <c r="F105" s="61" t="s">
        <v>55</v>
      </c>
      <c r="G105" s="54" t="s">
        <v>28</v>
      </c>
      <c r="H105" s="54" t="s">
        <v>56</v>
      </c>
      <c r="I105" s="57">
        <v>100</v>
      </c>
      <c r="J105" s="8" t="s">
        <v>378</v>
      </c>
      <c r="K105" s="11" t="s">
        <v>32</v>
      </c>
      <c r="L105" s="11" t="s">
        <v>32</v>
      </c>
      <c r="M105" s="11" t="s">
        <v>32</v>
      </c>
      <c r="N105" s="73" t="s">
        <v>32</v>
      </c>
      <c r="O105" s="71" t="s">
        <v>114</v>
      </c>
      <c r="P105" s="88" t="s">
        <v>59</v>
      </c>
      <c r="Q105" s="71" t="s">
        <v>35</v>
      </c>
      <c r="R105" s="71" t="s">
        <v>115</v>
      </c>
      <c r="S105" s="24" t="s">
        <v>376</v>
      </c>
    </row>
    <row r="106" spans="1:19" x14ac:dyDescent="0.25">
      <c r="A106" s="61" t="s">
        <v>370</v>
      </c>
      <c r="B106" s="87" t="s">
        <v>371</v>
      </c>
      <c r="C106" s="61" t="s">
        <v>380</v>
      </c>
      <c r="D106" s="61" t="s">
        <v>373</v>
      </c>
      <c r="E106" s="61" t="s">
        <v>374</v>
      </c>
      <c r="F106" s="10" t="s">
        <v>41</v>
      </c>
      <c r="G106" s="54" t="s">
        <v>28</v>
      </c>
      <c r="H106" s="11" t="s">
        <v>42</v>
      </c>
      <c r="I106" s="11" t="s">
        <v>42</v>
      </c>
      <c r="J106" s="11" t="s">
        <v>42</v>
      </c>
      <c r="K106" s="11" t="s">
        <v>42</v>
      </c>
      <c r="L106" s="11" t="s">
        <v>42</v>
      </c>
      <c r="M106" s="11" t="s">
        <v>42</v>
      </c>
      <c r="N106" s="73" t="s">
        <v>42</v>
      </c>
      <c r="O106" s="71" t="s">
        <v>110</v>
      </c>
      <c r="P106" s="88" t="s">
        <v>59</v>
      </c>
      <c r="Q106" s="71" t="s">
        <v>35</v>
      </c>
      <c r="R106" s="71" t="s">
        <v>111</v>
      </c>
      <c r="S106" s="9" t="str">
        <f>HYPERLINK(CONCATENATE("https://www.analog.com/", A106, "/datasheet"))</f>
        <v>https://www.analog.com/AD9042S/datasheet</v>
      </c>
    </row>
    <row r="107" spans="1:19" x14ac:dyDescent="0.25">
      <c r="A107" s="87" t="s">
        <v>370</v>
      </c>
      <c r="B107" s="87" t="s">
        <v>371</v>
      </c>
      <c r="C107" s="61" t="s">
        <v>381</v>
      </c>
      <c r="D107" s="61" t="s">
        <v>373</v>
      </c>
      <c r="E107" s="61" t="s">
        <v>374</v>
      </c>
      <c r="F107" s="10" t="s">
        <v>41</v>
      </c>
      <c r="G107" s="54" t="s">
        <v>28</v>
      </c>
      <c r="H107" s="11" t="s">
        <v>42</v>
      </c>
      <c r="I107" s="11" t="s">
        <v>42</v>
      </c>
      <c r="J107" s="11" t="s">
        <v>42</v>
      </c>
      <c r="K107" s="11" t="s">
        <v>42</v>
      </c>
      <c r="L107" s="11" t="s">
        <v>42</v>
      </c>
      <c r="M107" s="11" t="s">
        <v>42</v>
      </c>
      <c r="N107" s="73" t="s">
        <v>42</v>
      </c>
      <c r="O107" s="71" t="s">
        <v>114</v>
      </c>
      <c r="P107" s="88" t="s">
        <v>59</v>
      </c>
      <c r="Q107" s="71" t="s">
        <v>35</v>
      </c>
      <c r="R107" s="71" t="s">
        <v>115</v>
      </c>
      <c r="S107" s="9" t="str">
        <f>HYPERLINK(CONCATENATE("https://www.analog.com/", A107, "/datasheet"))</f>
        <v>https://www.analog.com/AD9042S/datasheet</v>
      </c>
    </row>
    <row r="108" spans="1:19" x14ac:dyDescent="0.25">
      <c r="A108" s="61" t="s">
        <v>382</v>
      </c>
      <c r="B108" s="87" t="s">
        <v>383</v>
      </c>
      <c r="C108" s="61" t="s">
        <v>384</v>
      </c>
      <c r="D108" s="61" t="s">
        <v>205</v>
      </c>
      <c r="E108" s="61" t="s">
        <v>385</v>
      </c>
      <c r="F108" s="61" t="s">
        <v>386</v>
      </c>
      <c r="G108" s="54" t="s">
        <v>387</v>
      </c>
      <c r="H108" s="54" t="s">
        <v>56</v>
      </c>
      <c r="I108" s="57">
        <v>100</v>
      </c>
      <c r="J108" s="14" t="s">
        <v>388</v>
      </c>
      <c r="K108" s="57">
        <v>80</v>
      </c>
      <c r="L108" s="14" t="s">
        <v>389</v>
      </c>
      <c r="M108" s="11" t="s">
        <v>32</v>
      </c>
      <c r="N108" s="73" t="s">
        <v>32</v>
      </c>
      <c r="O108" s="71" t="s">
        <v>390</v>
      </c>
      <c r="P108" s="88" t="s">
        <v>391</v>
      </c>
      <c r="Q108" s="71" t="s">
        <v>35</v>
      </c>
      <c r="R108" s="71" t="s">
        <v>392</v>
      </c>
      <c r="S108" s="9" t="str">
        <f>HYPERLINK(CONCATENATE("https://www.analog.com/", A108, "/datasheet"))</f>
        <v>https://www.analog.com/AD9176S/datasheet</v>
      </c>
    </row>
    <row r="109" spans="1:19" x14ac:dyDescent="0.25">
      <c r="A109" s="59" t="s">
        <v>393</v>
      </c>
      <c r="B109" s="87" t="s">
        <v>394</v>
      </c>
      <c r="C109" s="59" t="s">
        <v>395</v>
      </c>
      <c r="D109" s="61" t="s">
        <v>373</v>
      </c>
      <c r="E109" s="61" t="s">
        <v>374</v>
      </c>
      <c r="F109" s="61" t="s">
        <v>386</v>
      </c>
      <c r="G109" s="54" t="s">
        <v>387</v>
      </c>
      <c r="H109" s="54" t="s">
        <v>56</v>
      </c>
      <c r="I109" s="55">
        <v>100</v>
      </c>
      <c r="J109" s="8" t="s">
        <v>396</v>
      </c>
      <c r="K109" s="57">
        <v>80</v>
      </c>
      <c r="L109" s="17" t="s">
        <v>397</v>
      </c>
      <c r="M109" s="11" t="s">
        <v>32</v>
      </c>
      <c r="N109" s="73" t="s">
        <v>32</v>
      </c>
      <c r="O109" s="71" t="s">
        <v>398</v>
      </c>
      <c r="P109" s="88" t="s">
        <v>391</v>
      </c>
      <c r="Q109" s="71" t="s">
        <v>35</v>
      </c>
      <c r="R109" s="71" t="s">
        <v>399</v>
      </c>
      <c r="S109" s="9" t="str">
        <f>HYPERLINK(CONCATENATE("https://www.analog.com/", A109, "/datasheet"))</f>
        <v>https://www.analog.com/AD9213S/datasheet</v>
      </c>
    </row>
    <row r="110" spans="1:19" x14ac:dyDescent="0.25">
      <c r="A110" s="61" t="s">
        <v>400</v>
      </c>
      <c r="B110" s="87" t="s">
        <v>401</v>
      </c>
      <c r="C110" s="61" t="s">
        <v>402</v>
      </c>
      <c r="D110" s="61" t="s">
        <v>373</v>
      </c>
      <c r="E110" s="61" t="s">
        <v>374</v>
      </c>
      <c r="F110" s="61" t="s">
        <v>55</v>
      </c>
      <c r="G110" s="54" t="s">
        <v>28</v>
      </c>
      <c r="H110" s="54" t="s">
        <v>56</v>
      </c>
      <c r="I110" s="57">
        <v>100</v>
      </c>
      <c r="J110" s="14" t="s">
        <v>403</v>
      </c>
      <c r="K110" s="57">
        <v>80</v>
      </c>
      <c r="L110" s="14" t="s">
        <v>404</v>
      </c>
      <c r="M110" s="11" t="s">
        <v>32</v>
      </c>
      <c r="N110" s="73" t="s">
        <v>32</v>
      </c>
      <c r="O110" s="71" t="s">
        <v>405</v>
      </c>
      <c r="P110" s="88" t="s">
        <v>59</v>
      </c>
      <c r="Q110" s="71" t="s">
        <v>43</v>
      </c>
      <c r="R110" s="71" t="s">
        <v>406</v>
      </c>
      <c r="S110" s="24" t="s">
        <v>407</v>
      </c>
    </row>
    <row r="111" spans="1:19" x14ac:dyDescent="0.25">
      <c r="A111" s="61" t="s">
        <v>400</v>
      </c>
      <c r="B111" s="87" t="s">
        <v>401</v>
      </c>
      <c r="C111" s="61" t="s">
        <v>408</v>
      </c>
      <c r="D111" s="61" t="s">
        <v>373</v>
      </c>
      <c r="E111" s="61" t="s">
        <v>374</v>
      </c>
      <c r="F111" s="10" t="s">
        <v>41</v>
      </c>
      <c r="G111" s="54" t="s">
        <v>28</v>
      </c>
      <c r="H111" s="11" t="s">
        <v>42</v>
      </c>
      <c r="I111" s="11" t="s">
        <v>42</v>
      </c>
      <c r="J111" s="11" t="s">
        <v>42</v>
      </c>
      <c r="K111" s="11" t="s">
        <v>42</v>
      </c>
      <c r="L111" s="11" t="s">
        <v>42</v>
      </c>
      <c r="M111" s="11" t="s">
        <v>42</v>
      </c>
      <c r="N111" s="73" t="s">
        <v>42</v>
      </c>
      <c r="O111" s="71" t="s">
        <v>405</v>
      </c>
      <c r="P111" s="88" t="s">
        <v>59</v>
      </c>
      <c r="Q111" s="71" t="s">
        <v>43</v>
      </c>
      <c r="R111" s="71" t="s">
        <v>406</v>
      </c>
      <c r="S111" s="9" t="str">
        <f t="shared" ref="S111:S126" si="1">HYPERLINK(CONCATENATE("https://www.analog.com/", A111, "/datasheet"))</f>
        <v>https://www.analog.com/AD9246S/datasheet</v>
      </c>
    </row>
    <row r="112" spans="1:19" x14ac:dyDescent="0.25">
      <c r="A112" s="61" t="s">
        <v>409</v>
      </c>
      <c r="B112" s="87" t="s">
        <v>410</v>
      </c>
      <c r="C112" s="61" t="s">
        <v>411</v>
      </c>
      <c r="D112" s="61" t="s">
        <v>373</v>
      </c>
      <c r="E112" s="61" t="s">
        <v>374</v>
      </c>
      <c r="F112" s="10" t="s">
        <v>41</v>
      </c>
      <c r="G112" s="54" t="s">
        <v>330</v>
      </c>
      <c r="H112" s="11" t="s">
        <v>42</v>
      </c>
      <c r="I112" s="11" t="s">
        <v>42</v>
      </c>
      <c r="J112" s="11" t="s">
        <v>42</v>
      </c>
      <c r="K112" s="11" t="s">
        <v>42</v>
      </c>
      <c r="L112" s="11" t="s">
        <v>42</v>
      </c>
      <c r="M112" s="11" t="s">
        <v>42</v>
      </c>
      <c r="N112" s="73" t="s">
        <v>42</v>
      </c>
      <c r="O112" s="71" t="s">
        <v>412</v>
      </c>
      <c r="P112" s="88" t="s">
        <v>59</v>
      </c>
      <c r="Q112" s="71" t="s">
        <v>35</v>
      </c>
      <c r="R112" s="71" t="s">
        <v>413</v>
      </c>
      <c r="S112" s="9" t="str">
        <f t="shared" si="1"/>
        <v>https://www.analog.com/AD9254S/datasheet</v>
      </c>
    </row>
    <row r="113" spans="1:19" x14ac:dyDescent="0.25">
      <c r="A113" s="61" t="s">
        <v>409</v>
      </c>
      <c r="B113" s="87" t="s">
        <v>410</v>
      </c>
      <c r="C113" s="61" t="s">
        <v>414</v>
      </c>
      <c r="D113" s="61" t="s">
        <v>373</v>
      </c>
      <c r="E113" s="61" t="s">
        <v>374</v>
      </c>
      <c r="F113" s="53" t="s">
        <v>27</v>
      </c>
      <c r="G113" s="54" t="s">
        <v>330</v>
      </c>
      <c r="H113" s="54" t="s">
        <v>56</v>
      </c>
      <c r="I113" s="57">
        <v>100</v>
      </c>
      <c r="J113" s="8" t="s">
        <v>415</v>
      </c>
      <c r="K113" s="57">
        <v>86</v>
      </c>
      <c r="L113" s="14" t="s">
        <v>416</v>
      </c>
      <c r="M113" s="11" t="s">
        <v>32</v>
      </c>
      <c r="N113" s="73" t="s">
        <v>32</v>
      </c>
      <c r="O113" s="71" t="s">
        <v>412</v>
      </c>
      <c r="P113" s="88" t="s">
        <v>34</v>
      </c>
      <c r="Q113" s="71" t="s">
        <v>35</v>
      </c>
      <c r="R113" s="71" t="s">
        <v>413</v>
      </c>
      <c r="S113" s="9" t="str">
        <f t="shared" si="1"/>
        <v>https://www.analog.com/AD9254S/datasheet</v>
      </c>
    </row>
    <row r="114" spans="1:19" x14ac:dyDescent="0.25">
      <c r="A114" s="59" t="s">
        <v>417</v>
      </c>
      <c r="B114" s="87" t="s">
        <v>418</v>
      </c>
      <c r="C114" s="59" t="s">
        <v>419</v>
      </c>
      <c r="D114" s="61" t="s">
        <v>373</v>
      </c>
      <c r="E114" s="61" t="s">
        <v>420</v>
      </c>
      <c r="F114" s="53" t="s">
        <v>421</v>
      </c>
      <c r="G114" s="54" t="s">
        <v>28</v>
      </c>
      <c r="H114" s="54" t="s">
        <v>56</v>
      </c>
      <c r="I114" s="57">
        <v>30</v>
      </c>
      <c r="J114" s="14" t="s">
        <v>422</v>
      </c>
      <c r="K114" s="11" t="s">
        <v>32</v>
      </c>
      <c r="L114" s="11" t="s">
        <v>32</v>
      </c>
      <c r="M114" s="11" t="s">
        <v>32</v>
      </c>
      <c r="N114" s="73" t="s">
        <v>32</v>
      </c>
      <c r="O114" s="71" t="s">
        <v>423</v>
      </c>
      <c r="P114" s="88" t="s">
        <v>424</v>
      </c>
      <c r="Q114" s="71" t="s">
        <v>425</v>
      </c>
      <c r="R114" s="71" t="s">
        <v>426</v>
      </c>
      <c r="S114" s="9" t="str">
        <f t="shared" si="1"/>
        <v>https://www.analog.com/AD9257S/datasheet</v>
      </c>
    </row>
    <row r="115" spans="1:19" x14ac:dyDescent="0.25">
      <c r="A115" s="61" t="s">
        <v>427</v>
      </c>
      <c r="B115" s="87" t="s">
        <v>428</v>
      </c>
      <c r="C115" s="61" t="s">
        <v>429</v>
      </c>
      <c r="D115" s="61" t="s">
        <v>373</v>
      </c>
      <c r="E115" s="61" t="s">
        <v>374</v>
      </c>
      <c r="F115" s="59" t="s">
        <v>27</v>
      </c>
      <c r="G115" s="54" t="s">
        <v>28</v>
      </c>
      <c r="H115" s="54" t="s">
        <v>29</v>
      </c>
      <c r="I115" s="11" t="s">
        <v>32</v>
      </c>
      <c r="J115" s="11" t="s">
        <v>32</v>
      </c>
      <c r="K115" s="11" t="s">
        <v>32</v>
      </c>
      <c r="L115" s="11" t="s">
        <v>32</v>
      </c>
      <c r="M115" s="11" t="s">
        <v>32</v>
      </c>
      <c r="N115" s="73" t="s">
        <v>32</v>
      </c>
      <c r="O115" s="71" t="s">
        <v>58</v>
      </c>
      <c r="P115" s="88" t="s">
        <v>59</v>
      </c>
      <c r="Q115" s="71" t="s">
        <v>35</v>
      </c>
      <c r="R115" s="71" t="s">
        <v>320</v>
      </c>
      <c r="S115" s="9" t="str">
        <f t="shared" si="1"/>
        <v>https://www.analog.com/AD9283S/datasheet</v>
      </c>
    </row>
    <row r="116" spans="1:19" x14ac:dyDescent="0.25">
      <c r="A116" s="61" t="s">
        <v>427</v>
      </c>
      <c r="B116" s="87" t="s">
        <v>428</v>
      </c>
      <c r="C116" s="61" t="s">
        <v>430</v>
      </c>
      <c r="D116" s="61" t="s">
        <v>373</v>
      </c>
      <c r="E116" s="61" t="s">
        <v>374</v>
      </c>
      <c r="F116" s="10" t="s">
        <v>41</v>
      </c>
      <c r="G116" s="54" t="s">
        <v>28</v>
      </c>
      <c r="H116" s="11" t="s">
        <v>42</v>
      </c>
      <c r="I116" s="11" t="s">
        <v>42</v>
      </c>
      <c r="J116" s="11" t="s">
        <v>42</v>
      </c>
      <c r="K116" s="11" t="s">
        <v>42</v>
      </c>
      <c r="L116" s="11" t="s">
        <v>42</v>
      </c>
      <c r="M116" s="11" t="s">
        <v>42</v>
      </c>
      <c r="N116" s="73" t="s">
        <v>42</v>
      </c>
      <c r="O116" s="71" t="s">
        <v>58</v>
      </c>
      <c r="P116" s="88" t="s">
        <v>59</v>
      </c>
      <c r="Q116" s="71" t="s">
        <v>35</v>
      </c>
      <c r="R116" s="71" t="s">
        <v>320</v>
      </c>
      <c r="S116" s="9" t="str">
        <f t="shared" si="1"/>
        <v>https://www.analog.com/AD9283S/datasheet</v>
      </c>
    </row>
    <row r="117" spans="1:19" x14ac:dyDescent="0.25">
      <c r="A117" s="61" t="s">
        <v>431</v>
      </c>
      <c r="B117" s="87" t="s">
        <v>432</v>
      </c>
      <c r="C117" s="61" t="s">
        <v>433</v>
      </c>
      <c r="D117" s="61" t="s">
        <v>434</v>
      </c>
      <c r="E117" s="61" t="s">
        <v>435</v>
      </c>
      <c r="F117" s="61" t="s">
        <v>386</v>
      </c>
      <c r="G117" s="54" t="s">
        <v>387</v>
      </c>
      <c r="H117" s="54" t="s">
        <v>56</v>
      </c>
      <c r="I117" s="57">
        <v>100</v>
      </c>
      <c r="J117" s="14" t="s">
        <v>436</v>
      </c>
      <c r="K117" s="57">
        <v>80</v>
      </c>
      <c r="L117" s="17" t="s">
        <v>437</v>
      </c>
      <c r="M117" s="11" t="s">
        <v>32</v>
      </c>
      <c r="N117" s="73" t="s">
        <v>32</v>
      </c>
      <c r="O117" s="71" t="s">
        <v>390</v>
      </c>
      <c r="P117" s="88" t="s">
        <v>424</v>
      </c>
      <c r="Q117" s="71" t="s">
        <v>438</v>
      </c>
      <c r="R117" s="71" t="s">
        <v>439</v>
      </c>
      <c r="S117" s="9" t="str">
        <f t="shared" si="1"/>
        <v>https://www.analog.com/AD9361S/datasheet</v>
      </c>
    </row>
    <row r="118" spans="1:19" x14ac:dyDescent="0.25">
      <c r="A118" s="59" t="s">
        <v>431</v>
      </c>
      <c r="B118" s="87" t="s">
        <v>432</v>
      </c>
      <c r="C118" s="59" t="s">
        <v>440</v>
      </c>
      <c r="D118" s="61" t="s">
        <v>434</v>
      </c>
      <c r="E118" s="61" t="s">
        <v>435</v>
      </c>
      <c r="F118" s="59" t="s">
        <v>421</v>
      </c>
      <c r="G118" s="54" t="s">
        <v>387</v>
      </c>
      <c r="H118" s="54" t="s">
        <v>56</v>
      </c>
      <c r="I118" s="57">
        <v>30</v>
      </c>
      <c r="J118" s="14" t="s">
        <v>441</v>
      </c>
      <c r="K118" s="57">
        <v>80</v>
      </c>
      <c r="L118" s="17" t="s">
        <v>437</v>
      </c>
      <c r="M118" s="11" t="s">
        <v>32</v>
      </c>
      <c r="N118" s="73" t="s">
        <v>32</v>
      </c>
      <c r="O118" s="71" t="s">
        <v>390</v>
      </c>
      <c r="P118" s="88" t="s">
        <v>424</v>
      </c>
      <c r="Q118" s="71" t="s">
        <v>442</v>
      </c>
      <c r="R118" s="71" t="s">
        <v>439</v>
      </c>
      <c r="S118" s="9" t="str">
        <f t="shared" si="1"/>
        <v>https://www.analog.com/AD9361S/datasheet</v>
      </c>
    </row>
    <row r="119" spans="1:19" x14ac:dyDescent="0.25">
      <c r="A119" s="59" t="s">
        <v>443</v>
      </c>
      <c r="B119" s="87" t="s">
        <v>444</v>
      </c>
      <c r="C119" s="59" t="s">
        <v>445</v>
      </c>
      <c r="D119" s="61" t="s">
        <v>373</v>
      </c>
      <c r="E119" s="61" t="s">
        <v>420</v>
      </c>
      <c r="F119" s="59" t="s">
        <v>421</v>
      </c>
      <c r="G119" s="54" t="s">
        <v>446</v>
      </c>
      <c r="H119" s="54" t="s">
        <v>56</v>
      </c>
      <c r="I119" s="57">
        <v>30</v>
      </c>
      <c r="J119" s="14" t="s">
        <v>447</v>
      </c>
      <c r="K119" s="11" t="s">
        <v>32</v>
      </c>
      <c r="L119" s="11" t="s">
        <v>32</v>
      </c>
      <c r="M119" s="11" t="s">
        <v>32</v>
      </c>
      <c r="N119" s="73" t="s">
        <v>32</v>
      </c>
      <c r="O119" s="71" t="s">
        <v>448</v>
      </c>
      <c r="P119" s="88" t="s">
        <v>424</v>
      </c>
      <c r="Q119" s="71" t="s">
        <v>425</v>
      </c>
      <c r="R119" s="71" t="s">
        <v>449</v>
      </c>
      <c r="S119" s="9" t="str">
        <f t="shared" si="1"/>
        <v>https://www.analog.com/AD9694S/datasheet</v>
      </c>
    </row>
    <row r="120" spans="1:19" x14ac:dyDescent="0.25">
      <c r="A120" s="59" t="s">
        <v>450</v>
      </c>
      <c r="B120" s="87" t="s">
        <v>451</v>
      </c>
      <c r="C120" s="59" t="s">
        <v>452</v>
      </c>
      <c r="D120" s="61" t="s">
        <v>205</v>
      </c>
      <c r="E120" s="61" t="s">
        <v>206</v>
      </c>
      <c r="F120" s="59" t="s">
        <v>27</v>
      </c>
      <c r="G120" s="54" t="s">
        <v>28</v>
      </c>
      <c r="H120" s="54" t="s">
        <v>29</v>
      </c>
      <c r="I120" s="55" t="s">
        <v>30</v>
      </c>
      <c r="J120" s="8" t="s">
        <v>453</v>
      </c>
      <c r="K120" s="11" t="s">
        <v>32</v>
      </c>
      <c r="L120" s="11" t="s">
        <v>32</v>
      </c>
      <c r="M120" s="11" t="s">
        <v>32</v>
      </c>
      <c r="N120" s="73" t="s">
        <v>32</v>
      </c>
      <c r="O120" s="71" t="s">
        <v>33</v>
      </c>
      <c r="P120" s="88" t="s">
        <v>34</v>
      </c>
      <c r="Q120" s="71" t="s">
        <v>35</v>
      </c>
      <c r="R120" s="71" t="s">
        <v>36</v>
      </c>
      <c r="S120" s="9" t="str">
        <f t="shared" si="1"/>
        <v>https://www.analog.com/AD9731S/datasheet</v>
      </c>
    </row>
    <row r="121" spans="1:19" x14ac:dyDescent="0.25">
      <c r="A121" s="59" t="s">
        <v>450</v>
      </c>
      <c r="B121" s="87" t="s">
        <v>451</v>
      </c>
      <c r="C121" s="59" t="s">
        <v>454</v>
      </c>
      <c r="D121" s="61" t="s">
        <v>205</v>
      </c>
      <c r="E121" s="61" t="s">
        <v>206</v>
      </c>
      <c r="F121" s="59" t="s">
        <v>27</v>
      </c>
      <c r="G121" s="54" t="s">
        <v>28</v>
      </c>
      <c r="H121" s="54" t="s">
        <v>29</v>
      </c>
      <c r="I121" s="55" t="s">
        <v>30</v>
      </c>
      <c r="J121" s="8" t="s">
        <v>453</v>
      </c>
      <c r="K121" s="11" t="s">
        <v>32</v>
      </c>
      <c r="L121" s="11" t="s">
        <v>32</v>
      </c>
      <c r="M121" s="11" t="s">
        <v>32</v>
      </c>
      <c r="N121" s="73" t="s">
        <v>32</v>
      </c>
      <c r="O121" s="71" t="s">
        <v>455</v>
      </c>
      <c r="P121" s="88" t="s">
        <v>34</v>
      </c>
      <c r="Q121" s="71" t="s">
        <v>35</v>
      </c>
      <c r="R121" s="71" t="s">
        <v>115</v>
      </c>
      <c r="S121" s="9" t="str">
        <f t="shared" si="1"/>
        <v>https://www.analog.com/AD9731S/datasheet</v>
      </c>
    </row>
    <row r="122" spans="1:19" x14ac:dyDescent="0.25">
      <c r="A122" s="59" t="s">
        <v>450</v>
      </c>
      <c r="B122" s="87" t="s">
        <v>451</v>
      </c>
      <c r="C122" s="59" t="s">
        <v>456</v>
      </c>
      <c r="D122" s="61" t="s">
        <v>205</v>
      </c>
      <c r="E122" s="61" t="s">
        <v>206</v>
      </c>
      <c r="F122" s="53" t="s">
        <v>27</v>
      </c>
      <c r="G122" s="54" t="s">
        <v>28</v>
      </c>
      <c r="H122" s="54" t="s">
        <v>29</v>
      </c>
      <c r="I122" s="55" t="s">
        <v>30</v>
      </c>
      <c r="J122" s="8" t="s">
        <v>453</v>
      </c>
      <c r="K122" s="11" t="s">
        <v>32</v>
      </c>
      <c r="L122" s="11" t="s">
        <v>32</v>
      </c>
      <c r="M122" s="11" t="s">
        <v>32</v>
      </c>
      <c r="N122" s="73" t="s">
        <v>32</v>
      </c>
      <c r="O122" s="71" t="s">
        <v>33</v>
      </c>
      <c r="P122" s="88" t="s">
        <v>34</v>
      </c>
      <c r="Q122" s="71" t="s">
        <v>35</v>
      </c>
      <c r="R122" s="71" t="s">
        <v>36</v>
      </c>
      <c r="S122" s="9" t="str">
        <f t="shared" si="1"/>
        <v>https://www.analog.com/AD9731S/datasheet</v>
      </c>
    </row>
    <row r="123" spans="1:19" x14ac:dyDescent="0.25">
      <c r="A123" s="59" t="s">
        <v>450</v>
      </c>
      <c r="B123" s="87" t="s">
        <v>451</v>
      </c>
      <c r="C123" s="59" t="s">
        <v>457</v>
      </c>
      <c r="D123" s="61" t="s">
        <v>205</v>
      </c>
      <c r="E123" s="61" t="s">
        <v>206</v>
      </c>
      <c r="F123" s="59" t="s">
        <v>27</v>
      </c>
      <c r="G123" s="54" t="s">
        <v>28</v>
      </c>
      <c r="H123" s="54" t="s">
        <v>29</v>
      </c>
      <c r="I123" s="55" t="s">
        <v>30</v>
      </c>
      <c r="J123" s="8" t="s">
        <v>453</v>
      </c>
      <c r="K123" s="11" t="s">
        <v>32</v>
      </c>
      <c r="L123" s="11" t="s">
        <v>32</v>
      </c>
      <c r="M123" s="11" t="s">
        <v>32</v>
      </c>
      <c r="N123" s="73" t="s">
        <v>32</v>
      </c>
      <c r="O123" s="71" t="s">
        <v>38</v>
      </c>
      <c r="P123" s="88" t="s">
        <v>34</v>
      </c>
      <c r="Q123" s="71" t="s">
        <v>35</v>
      </c>
      <c r="R123" s="71" t="s">
        <v>115</v>
      </c>
      <c r="S123" s="9" t="str">
        <f t="shared" si="1"/>
        <v>https://www.analog.com/AD9731S/datasheet</v>
      </c>
    </row>
    <row r="124" spans="1:19" x14ac:dyDescent="0.25">
      <c r="A124" s="61" t="s">
        <v>458</v>
      </c>
      <c r="B124" s="87" t="s">
        <v>459</v>
      </c>
      <c r="C124" s="61" t="s">
        <v>460</v>
      </c>
      <c r="D124" s="61" t="s">
        <v>461</v>
      </c>
      <c r="E124" s="61" t="s">
        <v>462</v>
      </c>
      <c r="F124" s="59" t="s">
        <v>27</v>
      </c>
      <c r="G124" s="54" t="s">
        <v>28</v>
      </c>
      <c r="H124" s="54" t="s">
        <v>29</v>
      </c>
      <c r="I124" s="55" t="s">
        <v>30</v>
      </c>
      <c r="J124" s="15" t="s">
        <v>463</v>
      </c>
      <c r="K124" s="11" t="s">
        <v>32</v>
      </c>
      <c r="L124" s="11" t="s">
        <v>32</v>
      </c>
      <c r="M124" s="11" t="s">
        <v>32</v>
      </c>
      <c r="N124" s="73" t="s">
        <v>32</v>
      </c>
      <c r="O124" s="71" t="s">
        <v>38</v>
      </c>
      <c r="P124" s="88" t="s">
        <v>34</v>
      </c>
      <c r="Q124" s="71" t="s">
        <v>35</v>
      </c>
      <c r="R124" s="71" t="s">
        <v>115</v>
      </c>
      <c r="S124" s="9" t="str">
        <f t="shared" si="1"/>
        <v>https://www.analog.com/AD9814S/datasheet</v>
      </c>
    </row>
    <row r="125" spans="1:19" x14ac:dyDescent="0.25">
      <c r="A125" s="23" t="s">
        <v>464</v>
      </c>
      <c r="B125" s="87" t="s">
        <v>465</v>
      </c>
      <c r="C125" s="59" t="s">
        <v>466</v>
      </c>
      <c r="D125" s="61" t="s">
        <v>205</v>
      </c>
      <c r="E125" s="61" t="s">
        <v>467</v>
      </c>
      <c r="F125" s="59" t="s">
        <v>421</v>
      </c>
      <c r="G125" s="54" t="s">
        <v>387</v>
      </c>
      <c r="H125" s="54" t="s">
        <v>56</v>
      </c>
      <c r="I125" s="57">
        <v>30</v>
      </c>
      <c r="J125" s="15" t="s">
        <v>468</v>
      </c>
      <c r="K125" s="11" t="s">
        <v>32</v>
      </c>
      <c r="L125" s="11" t="s">
        <v>32</v>
      </c>
      <c r="M125" s="11" t="s">
        <v>32</v>
      </c>
      <c r="N125" s="73" t="s">
        <v>32</v>
      </c>
      <c r="O125" s="71" t="s">
        <v>469</v>
      </c>
      <c r="P125" s="88" t="s">
        <v>424</v>
      </c>
      <c r="Q125" s="71" t="s">
        <v>425</v>
      </c>
      <c r="R125" s="71" t="s">
        <v>470</v>
      </c>
      <c r="S125" s="9" t="str">
        <f t="shared" si="1"/>
        <v>https://www.analog.com/AD9914S/datasheet</v>
      </c>
    </row>
    <row r="126" spans="1:19" x14ac:dyDescent="0.25">
      <c r="A126" s="59" t="s">
        <v>464</v>
      </c>
      <c r="B126" s="87" t="s">
        <v>465</v>
      </c>
      <c r="C126" s="59" t="s">
        <v>471</v>
      </c>
      <c r="D126" s="61" t="s">
        <v>205</v>
      </c>
      <c r="E126" s="61" t="s">
        <v>467</v>
      </c>
      <c r="F126" s="59" t="s">
        <v>421</v>
      </c>
      <c r="G126" s="54" t="s">
        <v>387</v>
      </c>
      <c r="H126" s="54" t="s">
        <v>56</v>
      </c>
      <c r="I126" s="57">
        <v>30</v>
      </c>
      <c r="J126" s="15" t="s">
        <v>468</v>
      </c>
      <c r="K126" s="11" t="s">
        <v>32</v>
      </c>
      <c r="L126" s="11" t="s">
        <v>32</v>
      </c>
      <c r="M126" s="11" t="s">
        <v>32</v>
      </c>
      <c r="N126" s="73" t="s">
        <v>32</v>
      </c>
      <c r="O126" s="71" t="s">
        <v>469</v>
      </c>
      <c r="P126" s="88" t="s">
        <v>424</v>
      </c>
      <c r="Q126" s="71" t="s">
        <v>425</v>
      </c>
      <c r="R126" s="71" t="s">
        <v>470</v>
      </c>
      <c r="S126" s="9" t="str">
        <f t="shared" si="1"/>
        <v>https://www.analog.com/AD9914S/datasheet</v>
      </c>
    </row>
    <row r="127" spans="1:19" x14ac:dyDescent="0.25">
      <c r="A127" s="61" t="s">
        <v>472</v>
      </c>
      <c r="B127" s="87" t="s">
        <v>473</v>
      </c>
      <c r="C127" s="61" t="s">
        <v>474</v>
      </c>
      <c r="D127" s="61" t="s">
        <v>53</v>
      </c>
      <c r="E127" s="61" t="s">
        <v>475</v>
      </c>
      <c r="F127" s="61" t="s">
        <v>55</v>
      </c>
      <c r="G127" s="54" t="s">
        <v>28</v>
      </c>
      <c r="H127" s="54" t="s">
        <v>56</v>
      </c>
      <c r="I127" s="57">
        <v>50</v>
      </c>
      <c r="J127" s="15" t="s">
        <v>476</v>
      </c>
      <c r="K127" s="57">
        <v>80</v>
      </c>
      <c r="L127" s="17" t="s">
        <v>477</v>
      </c>
      <c r="M127" s="11" t="s">
        <v>32</v>
      </c>
      <c r="N127" s="73" t="s">
        <v>32</v>
      </c>
      <c r="O127" s="71" t="s">
        <v>217</v>
      </c>
      <c r="P127" s="88" t="s">
        <v>59</v>
      </c>
      <c r="Q127" s="71" t="s">
        <v>35</v>
      </c>
      <c r="R127" s="71" t="s">
        <v>265</v>
      </c>
      <c r="S127" s="24" t="s">
        <v>478</v>
      </c>
    </row>
    <row r="128" spans="1:19" x14ac:dyDescent="0.25">
      <c r="A128" s="61" t="s">
        <v>472</v>
      </c>
      <c r="B128" s="87" t="s">
        <v>473</v>
      </c>
      <c r="C128" s="61" t="s">
        <v>479</v>
      </c>
      <c r="D128" s="61" t="s">
        <v>53</v>
      </c>
      <c r="E128" s="61" t="s">
        <v>475</v>
      </c>
      <c r="F128" s="61" t="s">
        <v>55</v>
      </c>
      <c r="G128" s="54" t="s">
        <v>28</v>
      </c>
      <c r="H128" s="54" t="s">
        <v>56</v>
      </c>
      <c r="I128" s="57">
        <v>100</v>
      </c>
      <c r="J128" s="15" t="s">
        <v>480</v>
      </c>
      <c r="K128" s="57">
        <v>80</v>
      </c>
      <c r="L128" s="17" t="s">
        <v>477</v>
      </c>
      <c r="M128" s="11" t="s">
        <v>32</v>
      </c>
      <c r="N128" s="73" t="s">
        <v>32</v>
      </c>
      <c r="O128" s="71" t="s">
        <v>217</v>
      </c>
      <c r="P128" s="88" t="s">
        <v>59</v>
      </c>
      <c r="Q128" s="71" t="s">
        <v>35</v>
      </c>
      <c r="R128" s="71" t="s">
        <v>265</v>
      </c>
      <c r="S128" s="24" t="s">
        <v>478</v>
      </c>
    </row>
    <row r="129" spans="1:19" x14ac:dyDescent="0.25">
      <c r="A129" s="61" t="s">
        <v>472</v>
      </c>
      <c r="B129" s="87" t="s">
        <v>473</v>
      </c>
      <c r="C129" s="61" t="s">
        <v>481</v>
      </c>
      <c r="D129" s="61" t="s">
        <v>53</v>
      </c>
      <c r="E129" s="61" t="s">
        <v>475</v>
      </c>
      <c r="F129" s="10" t="s">
        <v>41</v>
      </c>
      <c r="G129" s="54" t="s">
        <v>28</v>
      </c>
      <c r="H129" s="11" t="s">
        <v>42</v>
      </c>
      <c r="I129" s="11" t="s">
        <v>42</v>
      </c>
      <c r="J129" s="16" t="s">
        <v>42</v>
      </c>
      <c r="K129" s="11" t="s">
        <v>42</v>
      </c>
      <c r="L129" s="11" t="s">
        <v>42</v>
      </c>
      <c r="M129" s="11" t="s">
        <v>42</v>
      </c>
      <c r="N129" s="73" t="s">
        <v>42</v>
      </c>
      <c r="O129" s="71" t="s">
        <v>217</v>
      </c>
      <c r="P129" s="88" t="s">
        <v>59</v>
      </c>
      <c r="Q129" s="71" t="s">
        <v>35</v>
      </c>
      <c r="R129" s="71" t="s">
        <v>265</v>
      </c>
      <c r="S129" s="9" t="str">
        <f>HYPERLINK(CONCATENATE("https://www.analog.com/", A129, "/datasheet"))</f>
        <v>https://www.analog.com/ADA4077-2S/datasheet</v>
      </c>
    </row>
    <row r="130" spans="1:19" x14ac:dyDescent="0.25">
      <c r="A130" s="61" t="s">
        <v>482</v>
      </c>
      <c r="B130" s="87" t="s">
        <v>483</v>
      </c>
      <c r="C130" s="61" t="s">
        <v>484</v>
      </c>
      <c r="D130" s="61" t="s">
        <v>53</v>
      </c>
      <c r="E130" s="61" t="s">
        <v>365</v>
      </c>
      <c r="F130" s="61" t="s">
        <v>55</v>
      </c>
      <c r="G130" s="54" t="s">
        <v>28</v>
      </c>
      <c r="H130" s="54" t="s">
        <v>56</v>
      </c>
      <c r="I130" s="57">
        <v>100</v>
      </c>
      <c r="J130" s="15" t="s">
        <v>485</v>
      </c>
      <c r="K130" s="61" t="s">
        <v>486</v>
      </c>
      <c r="L130" s="11" t="s">
        <v>32</v>
      </c>
      <c r="M130" s="11" t="s">
        <v>32</v>
      </c>
      <c r="N130" s="73" t="s">
        <v>32</v>
      </c>
      <c r="O130" s="71" t="s">
        <v>487</v>
      </c>
      <c r="P130" s="88" t="s">
        <v>126</v>
      </c>
      <c r="Q130" s="71" t="s">
        <v>35</v>
      </c>
      <c r="R130" s="71" t="s">
        <v>488</v>
      </c>
      <c r="S130" s="24" t="s">
        <v>489</v>
      </c>
    </row>
    <row r="131" spans="1:19" x14ac:dyDescent="0.25">
      <c r="A131" s="61" t="s">
        <v>482</v>
      </c>
      <c r="B131" s="87" t="s">
        <v>483</v>
      </c>
      <c r="C131" s="61" t="s">
        <v>490</v>
      </c>
      <c r="D131" s="61" t="s">
        <v>53</v>
      </c>
      <c r="E131" s="61" t="s">
        <v>365</v>
      </c>
      <c r="F131" s="10" t="s">
        <v>41</v>
      </c>
      <c r="G131" s="54" t="s">
        <v>28</v>
      </c>
      <c r="H131" s="11" t="s">
        <v>42</v>
      </c>
      <c r="I131" s="11" t="s">
        <v>42</v>
      </c>
      <c r="J131" s="16" t="s">
        <v>42</v>
      </c>
      <c r="K131" s="11" t="s">
        <v>42</v>
      </c>
      <c r="L131" s="11" t="s">
        <v>42</v>
      </c>
      <c r="M131" s="11" t="s">
        <v>42</v>
      </c>
      <c r="N131" s="73" t="s">
        <v>42</v>
      </c>
      <c r="O131" s="71" t="s">
        <v>487</v>
      </c>
      <c r="P131" s="88" t="s">
        <v>126</v>
      </c>
      <c r="Q131" s="71" t="s">
        <v>35</v>
      </c>
      <c r="R131" s="71" t="s">
        <v>488</v>
      </c>
      <c r="S131" s="9" t="str">
        <f>HYPERLINK(CONCATENATE("https://www.analog.com/", A131, "/datasheet"))</f>
        <v>https://www.analog.com/ADA4077-4S/datasheet</v>
      </c>
    </row>
    <row r="132" spans="1:19" x14ac:dyDescent="0.25">
      <c r="A132" s="61" t="s">
        <v>491</v>
      </c>
      <c r="B132" s="87" t="s">
        <v>492</v>
      </c>
      <c r="C132" s="61" t="s">
        <v>493</v>
      </c>
      <c r="D132" s="61" t="s">
        <v>53</v>
      </c>
      <c r="E132" s="61" t="s">
        <v>365</v>
      </c>
      <c r="F132" s="61" t="s">
        <v>55</v>
      </c>
      <c r="G132" s="54" t="s">
        <v>28</v>
      </c>
      <c r="H132" s="54" t="s">
        <v>56</v>
      </c>
      <c r="I132" s="57">
        <v>50</v>
      </c>
      <c r="J132" s="15" t="s">
        <v>494</v>
      </c>
      <c r="K132" s="57">
        <v>93</v>
      </c>
      <c r="L132" s="39" t="s">
        <v>495</v>
      </c>
      <c r="M132" s="89">
        <v>2000000000000</v>
      </c>
      <c r="N132" s="75" t="s">
        <v>496</v>
      </c>
      <c r="O132" s="71" t="s">
        <v>497</v>
      </c>
      <c r="P132" s="88" t="s">
        <v>34</v>
      </c>
      <c r="Q132" s="71" t="s">
        <v>35</v>
      </c>
      <c r="R132" s="71" t="s">
        <v>498</v>
      </c>
      <c r="S132" s="24" t="s">
        <v>499</v>
      </c>
    </row>
    <row r="133" spans="1:19" x14ac:dyDescent="0.25">
      <c r="A133" s="61" t="s">
        <v>491</v>
      </c>
      <c r="B133" s="87" t="s">
        <v>492</v>
      </c>
      <c r="C133" s="61" t="s">
        <v>500</v>
      </c>
      <c r="D133" s="61" t="s">
        <v>53</v>
      </c>
      <c r="E133" s="61" t="s">
        <v>365</v>
      </c>
      <c r="F133" s="61" t="s">
        <v>55</v>
      </c>
      <c r="G133" s="54" t="s">
        <v>28</v>
      </c>
      <c r="H133" s="54" t="s">
        <v>56</v>
      </c>
      <c r="I133" s="57">
        <v>100</v>
      </c>
      <c r="J133" s="15" t="s">
        <v>501</v>
      </c>
      <c r="K133" s="57">
        <v>93</v>
      </c>
      <c r="L133" s="39" t="s">
        <v>495</v>
      </c>
      <c r="M133" s="89">
        <v>2000000000000</v>
      </c>
      <c r="N133" s="75" t="s">
        <v>496</v>
      </c>
      <c r="O133" s="71" t="s">
        <v>497</v>
      </c>
      <c r="P133" s="88" t="s">
        <v>34</v>
      </c>
      <c r="Q133" s="71" t="s">
        <v>35</v>
      </c>
      <c r="R133" s="71" t="s">
        <v>498</v>
      </c>
      <c r="S133" s="24" t="s">
        <v>499</v>
      </c>
    </row>
    <row r="134" spans="1:19" x14ac:dyDescent="0.25">
      <c r="A134" s="61" t="s">
        <v>491</v>
      </c>
      <c r="B134" s="87" t="s">
        <v>492</v>
      </c>
      <c r="C134" s="61" t="s">
        <v>502</v>
      </c>
      <c r="D134" s="61" t="s">
        <v>53</v>
      </c>
      <c r="E134" s="61" t="s">
        <v>365</v>
      </c>
      <c r="F134" s="10" t="s">
        <v>41</v>
      </c>
      <c r="G134" s="54" t="s">
        <v>28</v>
      </c>
      <c r="H134" s="11" t="s">
        <v>42</v>
      </c>
      <c r="I134" s="11" t="s">
        <v>42</v>
      </c>
      <c r="J134" s="11" t="s">
        <v>42</v>
      </c>
      <c r="K134" s="11" t="s">
        <v>42</v>
      </c>
      <c r="L134" s="11" t="s">
        <v>42</v>
      </c>
      <c r="M134" s="11" t="s">
        <v>42</v>
      </c>
      <c r="N134" s="73" t="s">
        <v>42</v>
      </c>
      <c r="O134" s="71" t="s">
        <v>497</v>
      </c>
      <c r="P134" s="88" t="s">
        <v>34</v>
      </c>
      <c r="Q134" s="71" t="s">
        <v>35</v>
      </c>
      <c r="R134" s="71" t="s">
        <v>498</v>
      </c>
      <c r="S134" s="9" t="str">
        <f>HYPERLINK(CONCATENATE("https://www.analog.com/", A134, "/datasheet"))</f>
        <v>https://www.analog.com/ADA4084-2S/datasheet</v>
      </c>
    </row>
    <row r="135" spans="1:19" x14ac:dyDescent="0.25">
      <c r="A135" s="87" t="s">
        <v>503</v>
      </c>
      <c r="B135" s="87" t="s">
        <v>504</v>
      </c>
      <c r="C135" s="61" t="s">
        <v>505</v>
      </c>
      <c r="D135" s="61" t="s">
        <v>53</v>
      </c>
      <c r="E135" s="61" t="s">
        <v>506</v>
      </c>
      <c r="F135" s="61" t="s">
        <v>55</v>
      </c>
      <c r="G135" s="54" t="s">
        <v>28</v>
      </c>
      <c r="H135" s="54" t="s">
        <v>56</v>
      </c>
      <c r="I135" s="57">
        <v>50</v>
      </c>
      <c r="J135" s="14" t="s">
        <v>507</v>
      </c>
      <c r="K135" s="57">
        <v>93</v>
      </c>
      <c r="L135" s="17" t="s">
        <v>508</v>
      </c>
      <c r="M135" s="11" t="s">
        <v>32</v>
      </c>
      <c r="N135" s="73" t="s">
        <v>32</v>
      </c>
      <c r="O135" s="71" t="s">
        <v>487</v>
      </c>
      <c r="P135" s="88" t="s">
        <v>126</v>
      </c>
      <c r="Q135" s="71" t="s">
        <v>35</v>
      </c>
      <c r="R135" s="71" t="s">
        <v>488</v>
      </c>
      <c r="S135" s="24" t="s">
        <v>509</v>
      </c>
    </row>
    <row r="136" spans="1:19" x14ac:dyDescent="0.25">
      <c r="A136" s="87" t="s">
        <v>503</v>
      </c>
      <c r="B136" s="87" t="s">
        <v>504</v>
      </c>
      <c r="C136" s="61" t="s">
        <v>510</v>
      </c>
      <c r="D136" s="61" t="s">
        <v>53</v>
      </c>
      <c r="E136" s="61" t="s">
        <v>506</v>
      </c>
      <c r="F136" s="61" t="s">
        <v>55</v>
      </c>
      <c r="G136" s="54" t="s">
        <v>28</v>
      </c>
      <c r="H136" s="54" t="s">
        <v>56</v>
      </c>
      <c r="I136" s="57">
        <v>100</v>
      </c>
      <c r="J136" s="14" t="s">
        <v>511</v>
      </c>
      <c r="K136" s="57">
        <v>93</v>
      </c>
      <c r="L136" s="17" t="s">
        <v>508</v>
      </c>
      <c r="M136" s="11" t="s">
        <v>32</v>
      </c>
      <c r="N136" s="73" t="s">
        <v>32</v>
      </c>
      <c r="O136" s="71" t="s">
        <v>487</v>
      </c>
      <c r="P136" s="88" t="s">
        <v>126</v>
      </c>
      <c r="Q136" s="71" t="s">
        <v>35</v>
      </c>
      <c r="R136" s="71" t="s">
        <v>488</v>
      </c>
      <c r="S136" s="24" t="s">
        <v>509</v>
      </c>
    </row>
    <row r="137" spans="1:19" x14ac:dyDescent="0.25">
      <c r="A137" s="87" t="s">
        <v>503</v>
      </c>
      <c r="B137" s="87" t="s">
        <v>504</v>
      </c>
      <c r="C137" s="61" t="s">
        <v>512</v>
      </c>
      <c r="D137" s="61" t="s">
        <v>53</v>
      </c>
      <c r="E137" s="61" t="s">
        <v>506</v>
      </c>
      <c r="F137" s="10" t="s">
        <v>41</v>
      </c>
      <c r="G137" s="54" t="s">
        <v>28</v>
      </c>
      <c r="H137" s="11" t="s">
        <v>42</v>
      </c>
      <c r="I137" s="11" t="s">
        <v>42</v>
      </c>
      <c r="J137" s="11" t="s">
        <v>42</v>
      </c>
      <c r="K137" s="11" t="s">
        <v>42</v>
      </c>
      <c r="L137" s="16" t="s">
        <v>42</v>
      </c>
      <c r="M137" s="11" t="s">
        <v>42</v>
      </c>
      <c r="N137" s="16" t="s">
        <v>42</v>
      </c>
      <c r="O137" s="71" t="s">
        <v>487</v>
      </c>
      <c r="P137" s="88" t="s">
        <v>126</v>
      </c>
      <c r="Q137" s="71" t="s">
        <v>35</v>
      </c>
      <c r="R137" s="71" t="s">
        <v>488</v>
      </c>
      <c r="S137" s="9" t="str">
        <f>HYPERLINK(CONCATENATE("https://www.analog.com/", A137, "/datasheet"))</f>
        <v>https://www.analog.com/ADA4084-4S/datasheet</v>
      </c>
    </row>
    <row r="138" spans="1:19" x14ac:dyDescent="0.25">
      <c r="A138" s="88" t="s">
        <v>513</v>
      </c>
      <c r="B138" s="87" t="s">
        <v>514</v>
      </c>
      <c r="C138" s="59" t="s">
        <v>515</v>
      </c>
      <c r="D138" s="61" t="s">
        <v>53</v>
      </c>
      <c r="E138" s="61" t="s">
        <v>365</v>
      </c>
      <c r="F138" s="61" t="s">
        <v>55</v>
      </c>
      <c r="G138" s="54" t="s">
        <v>28</v>
      </c>
      <c r="H138" s="54" t="s">
        <v>56</v>
      </c>
      <c r="I138" s="55">
        <v>50</v>
      </c>
      <c r="J138" s="8" t="s">
        <v>516</v>
      </c>
      <c r="K138" s="55">
        <v>80</v>
      </c>
      <c r="L138" s="19" t="s">
        <v>517</v>
      </c>
      <c r="M138" s="11" t="s">
        <v>32</v>
      </c>
      <c r="N138" s="73" t="s">
        <v>32</v>
      </c>
      <c r="O138" s="71" t="s">
        <v>497</v>
      </c>
      <c r="P138" s="88" t="s">
        <v>34</v>
      </c>
      <c r="Q138" s="71" t="s">
        <v>35</v>
      </c>
      <c r="R138" s="71" t="s">
        <v>498</v>
      </c>
      <c r="S138" s="24" t="s">
        <v>518</v>
      </c>
    </row>
    <row r="139" spans="1:19" x14ac:dyDescent="0.25">
      <c r="A139" s="88" t="s">
        <v>513</v>
      </c>
      <c r="B139" s="87" t="s">
        <v>514</v>
      </c>
      <c r="C139" s="59" t="s">
        <v>519</v>
      </c>
      <c r="D139" s="61" t="s">
        <v>53</v>
      </c>
      <c r="E139" s="61" t="s">
        <v>365</v>
      </c>
      <c r="F139" s="61" t="s">
        <v>55</v>
      </c>
      <c r="G139" s="54" t="s">
        <v>28</v>
      </c>
      <c r="H139" s="54" t="s">
        <v>56</v>
      </c>
      <c r="I139" s="55">
        <v>100</v>
      </c>
      <c r="J139" s="8" t="s">
        <v>520</v>
      </c>
      <c r="K139" s="55">
        <v>80</v>
      </c>
      <c r="L139" s="13" t="s">
        <v>517</v>
      </c>
      <c r="M139" s="11" t="s">
        <v>32</v>
      </c>
      <c r="N139" s="73" t="s">
        <v>32</v>
      </c>
      <c r="O139" s="71" t="s">
        <v>497</v>
      </c>
      <c r="P139" s="88" t="s">
        <v>34</v>
      </c>
      <c r="Q139" s="71" t="s">
        <v>35</v>
      </c>
      <c r="R139" s="71" t="s">
        <v>498</v>
      </c>
      <c r="S139" s="24" t="s">
        <v>518</v>
      </c>
    </row>
    <row r="140" spans="1:19" x14ac:dyDescent="0.25">
      <c r="A140" s="59" t="s">
        <v>513</v>
      </c>
      <c r="B140" s="87" t="s">
        <v>514</v>
      </c>
      <c r="C140" s="59" t="s">
        <v>521</v>
      </c>
      <c r="D140" s="61" t="s">
        <v>53</v>
      </c>
      <c r="E140" s="61" t="s">
        <v>365</v>
      </c>
      <c r="F140" s="10" t="s">
        <v>41</v>
      </c>
      <c r="G140" s="54" t="s">
        <v>28</v>
      </c>
      <c r="H140" s="11" t="s">
        <v>42</v>
      </c>
      <c r="I140" s="11" t="s">
        <v>42</v>
      </c>
      <c r="J140" s="16" t="s">
        <v>42</v>
      </c>
      <c r="K140" s="11" t="s">
        <v>42</v>
      </c>
      <c r="L140" s="16" t="s">
        <v>42</v>
      </c>
      <c r="M140" s="11" t="s">
        <v>42</v>
      </c>
      <c r="N140" s="73" t="s">
        <v>42</v>
      </c>
      <c r="O140" s="71" t="s">
        <v>497</v>
      </c>
      <c r="P140" s="88" t="s">
        <v>34</v>
      </c>
      <c r="Q140" s="71" t="s">
        <v>35</v>
      </c>
      <c r="R140" s="71" t="s">
        <v>498</v>
      </c>
      <c r="S140" s="9" t="str">
        <f>HYPERLINK(CONCATENATE("https://www.analog.com/", A140, "/datasheet"))</f>
        <v>https://www.analog.com/ADA4096-2S/datasheet</v>
      </c>
    </row>
    <row r="141" spans="1:19" x14ac:dyDescent="0.25">
      <c r="A141" s="59" t="s">
        <v>522</v>
      </c>
      <c r="B141" s="87" t="s">
        <v>523</v>
      </c>
      <c r="C141" s="59" t="s">
        <v>524</v>
      </c>
      <c r="D141" s="61" t="s">
        <v>53</v>
      </c>
      <c r="E141" s="61" t="s">
        <v>170</v>
      </c>
      <c r="F141" s="61" t="s">
        <v>55</v>
      </c>
      <c r="G141" s="54" t="s">
        <v>28</v>
      </c>
      <c r="H141" s="54" t="s">
        <v>56</v>
      </c>
      <c r="I141" s="55">
        <v>50</v>
      </c>
      <c r="J141" s="22" t="s">
        <v>525</v>
      </c>
      <c r="K141" s="55">
        <v>80</v>
      </c>
      <c r="L141" s="20" t="s">
        <v>526</v>
      </c>
      <c r="M141" s="11" t="s">
        <v>32</v>
      </c>
      <c r="N141" s="73" t="s">
        <v>32</v>
      </c>
      <c r="O141" s="71" t="s">
        <v>497</v>
      </c>
      <c r="P141" s="88" t="s">
        <v>34</v>
      </c>
      <c r="Q141" s="71" t="s">
        <v>35</v>
      </c>
      <c r="R141" s="71" t="s">
        <v>498</v>
      </c>
      <c r="S141" s="24" t="s">
        <v>527</v>
      </c>
    </row>
    <row r="142" spans="1:19" x14ac:dyDescent="0.25">
      <c r="A142" s="59" t="s">
        <v>522</v>
      </c>
      <c r="B142" s="87" t="s">
        <v>523</v>
      </c>
      <c r="C142" s="59" t="s">
        <v>528</v>
      </c>
      <c r="D142" s="61" t="s">
        <v>53</v>
      </c>
      <c r="E142" s="61" t="s">
        <v>170</v>
      </c>
      <c r="F142" s="61" t="s">
        <v>55</v>
      </c>
      <c r="G142" s="54" t="s">
        <v>28</v>
      </c>
      <c r="H142" s="54" t="s">
        <v>56</v>
      </c>
      <c r="I142" s="55">
        <v>100</v>
      </c>
      <c r="J142" s="8" t="s">
        <v>529</v>
      </c>
      <c r="K142" s="55">
        <v>80</v>
      </c>
      <c r="L142" s="17" t="s">
        <v>526</v>
      </c>
      <c r="M142" s="11" t="s">
        <v>32</v>
      </c>
      <c r="N142" s="73" t="s">
        <v>32</v>
      </c>
      <c r="O142" s="71" t="s">
        <v>497</v>
      </c>
      <c r="P142" s="88" t="s">
        <v>34</v>
      </c>
      <c r="Q142" s="71" t="s">
        <v>35</v>
      </c>
      <c r="R142" s="71" t="s">
        <v>498</v>
      </c>
      <c r="S142" s="24" t="s">
        <v>527</v>
      </c>
    </row>
    <row r="143" spans="1:19" x14ac:dyDescent="0.25">
      <c r="A143" s="59" t="s">
        <v>522</v>
      </c>
      <c r="B143" s="87" t="s">
        <v>523</v>
      </c>
      <c r="C143" s="59" t="s">
        <v>530</v>
      </c>
      <c r="D143" s="61" t="s">
        <v>53</v>
      </c>
      <c r="E143" s="61" t="s">
        <v>170</v>
      </c>
      <c r="F143" s="10" t="s">
        <v>41</v>
      </c>
      <c r="G143" s="54" t="s">
        <v>28</v>
      </c>
      <c r="H143" s="11" t="s">
        <v>42</v>
      </c>
      <c r="I143" s="11" t="s">
        <v>42</v>
      </c>
      <c r="J143" s="16" t="s">
        <v>42</v>
      </c>
      <c r="K143" s="11" t="s">
        <v>42</v>
      </c>
      <c r="L143" s="11" t="s">
        <v>42</v>
      </c>
      <c r="M143" s="11" t="s">
        <v>42</v>
      </c>
      <c r="N143" s="73" t="s">
        <v>42</v>
      </c>
      <c r="O143" s="71" t="s">
        <v>497</v>
      </c>
      <c r="P143" s="88" t="s">
        <v>34</v>
      </c>
      <c r="Q143" s="71" t="s">
        <v>35</v>
      </c>
      <c r="R143" s="71" t="s">
        <v>498</v>
      </c>
      <c r="S143" s="9" t="str">
        <f>HYPERLINK(CONCATENATE("https://www.analog.com/", A143, "/datasheet"))</f>
        <v>https://www.analog.com/ADA4610-2S/datasheet</v>
      </c>
    </row>
    <row r="144" spans="1:19" x14ac:dyDescent="0.25">
      <c r="A144" s="61" t="s">
        <v>531</v>
      </c>
      <c r="B144" s="87" t="s">
        <v>532</v>
      </c>
      <c r="C144" s="61" t="s">
        <v>533</v>
      </c>
      <c r="D144" s="61" t="s">
        <v>534</v>
      </c>
      <c r="E144" s="61" t="s">
        <v>535</v>
      </c>
      <c r="F144" s="59" t="s">
        <v>421</v>
      </c>
      <c r="G144" s="54" t="s">
        <v>387</v>
      </c>
      <c r="H144" s="54" t="s">
        <v>56</v>
      </c>
      <c r="I144" s="55">
        <v>30</v>
      </c>
      <c r="J144" s="86" t="s">
        <v>536</v>
      </c>
      <c r="K144" s="55">
        <v>91</v>
      </c>
      <c r="L144" s="60" t="s">
        <v>537</v>
      </c>
      <c r="M144" s="11" t="s">
        <v>32</v>
      </c>
      <c r="N144" s="73" t="s">
        <v>32</v>
      </c>
      <c r="O144" s="71" t="s">
        <v>538</v>
      </c>
      <c r="P144" s="87" t="s">
        <v>424</v>
      </c>
      <c r="Q144" s="71" t="s">
        <v>442</v>
      </c>
      <c r="R144" s="71" t="s">
        <v>539</v>
      </c>
      <c r="S144" s="65" t="s">
        <v>536</v>
      </c>
    </row>
    <row r="145" spans="1:19" x14ac:dyDescent="0.25">
      <c r="A145" s="61" t="s">
        <v>540</v>
      </c>
      <c r="B145" s="87" t="s">
        <v>532</v>
      </c>
      <c r="C145" s="61" t="s">
        <v>541</v>
      </c>
      <c r="D145" s="61" t="s">
        <v>534</v>
      </c>
      <c r="E145" s="61" t="s">
        <v>535</v>
      </c>
      <c r="F145" s="61" t="s">
        <v>386</v>
      </c>
      <c r="G145" s="54" t="s">
        <v>387</v>
      </c>
      <c r="H145" s="54" t="s">
        <v>56</v>
      </c>
      <c r="I145" s="55">
        <v>100</v>
      </c>
      <c r="J145" s="61" t="s">
        <v>542</v>
      </c>
      <c r="K145" s="55">
        <v>91</v>
      </c>
      <c r="L145" s="61" t="s">
        <v>542</v>
      </c>
      <c r="M145" s="11" t="s">
        <v>32</v>
      </c>
      <c r="N145" s="73" t="s">
        <v>32</v>
      </c>
      <c r="O145" s="71" t="s">
        <v>538</v>
      </c>
      <c r="P145" s="87" t="s">
        <v>424</v>
      </c>
      <c r="Q145" s="71" t="s">
        <v>442</v>
      </c>
      <c r="R145" s="71" t="s">
        <v>539</v>
      </c>
      <c r="S145" s="65" t="s">
        <v>542</v>
      </c>
    </row>
    <row r="146" spans="1:19" x14ac:dyDescent="0.25">
      <c r="A146" s="61" t="s">
        <v>543</v>
      </c>
      <c r="B146" s="87" t="s">
        <v>544</v>
      </c>
      <c r="C146" s="61" t="s">
        <v>545</v>
      </c>
      <c r="D146" s="61" t="s">
        <v>534</v>
      </c>
      <c r="E146" s="61" t="s">
        <v>535</v>
      </c>
      <c r="F146" s="59" t="s">
        <v>421</v>
      </c>
      <c r="G146" s="54" t="s">
        <v>387</v>
      </c>
      <c r="H146" s="54" t="s">
        <v>56</v>
      </c>
      <c r="I146" s="55">
        <v>30</v>
      </c>
      <c r="J146" s="61" t="s">
        <v>536</v>
      </c>
      <c r="K146" s="55">
        <v>86</v>
      </c>
      <c r="L146" s="60" t="s">
        <v>537</v>
      </c>
      <c r="M146" s="11" t="s">
        <v>32</v>
      </c>
      <c r="N146" s="73" t="s">
        <v>32</v>
      </c>
      <c r="O146" s="71" t="s">
        <v>538</v>
      </c>
      <c r="P146" s="87" t="s">
        <v>424</v>
      </c>
      <c r="Q146" s="71" t="s">
        <v>442</v>
      </c>
      <c r="R146" s="71" t="s">
        <v>539</v>
      </c>
      <c r="S146" s="65" t="s">
        <v>536</v>
      </c>
    </row>
    <row r="147" spans="1:19" x14ac:dyDescent="0.25">
      <c r="A147" s="61" t="s">
        <v>546</v>
      </c>
      <c r="B147" s="87" t="s">
        <v>544</v>
      </c>
      <c r="C147" s="61" t="s">
        <v>547</v>
      </c>
      <c r="D147" s="61" t="s">
        <v>534</v>
      </c>
      <c r="E147" s="61" t="s">
        <v>535</v>
      </c>
      <c r="F147" s="61" t="s">
        <v>386</v>
      </c>
      <c r="G147" s="54" t="s">
        <v>387</v>
      </c>
      <c r="H147" s="54" t="s">
        <v>56</v>
      </c>
      <c r="I147" s="55">
        <v>100</v>
      </c>
      <c r="J147" s="61" t="s">
        <v>542</v>
      </c>
      <c r="K147" s="55">
        <v>86</v>
      </c>
      <c r="L147" s="61" t="s">
        <v>542</v>
      </c>
      <c r="M147" s="11" t="s">
        <v>32</v>
      </c>
      <c r="N147" s="73" t="s">
        <v>32</v>
      </c>
      <c r="O147" s="71" t="s">
        <v>538</v>
      </c>
      <c r="P147" s="87" t="s">
        <v>424</v>
      </c>
      <c r="Q147" s="71" t="s">
        <v>442</v>
      </c>
      <c r="R147" s="71" t="s">
        <v>539</v>
      </c>
      <c r="S147" s="65" t="s">
        <v>542</v>
      </c>
    </row>
    <row r="148" spans="1:19" x14ac:dyDescent="0.25">
      <c r="A148" s="61" t="s">
        <v>548</v>
      </c>
      <c r="B148" s="87" t="s">
        <v>549</v>
      </c>
      <c r="C148" s="61" t="s">
        <v>550</v>
      </c>
      <c r="D148" s="61" t="s">
        <v>534</v>
      </c>
      <c r="E148" s="61" t="s">
        <v>535</v>
      </c>
      <c r="F148" s="59" t="s">
        <v>421</v>
      </c>
      <c r="G148" s="54" t="s">
        <v>387</v>
      </c>
      <c r="H148" s="54" t="s">
        <v>56</v>
      </c>
      <c r="I148" s="55">
        <v>30</v>
      </c>
      <c r="J148" s="61" t="s">
        <v>536</v>
      </c>
      <c r="K148" s="59" t="s">
        <v>551</v>
      </c>
      <c r="L148" s="60" t="s">
        <v>537</v>
      </c>
      <c r="M148" s="11" t="s">
        <v>32</v>
      </c>
      <c r="N148" s="73" t="s">
        <v>32</v>
      </c>
      <c r="O148" s="71" t="s">
        <v>538</v>
      </c>
      <c r="P148" s="87" t="s">
        <v>424</v>
      </c>
      <c r="Q148" s="71" t="s">
        <v>442</v>
      </c>
      <c r="R148" s="71" t="s">
        <v>539</v>
      </c>
      <c r="S148" s="65" t="s">
        <v>536</v>
      </c>
    </row>
    <row r="149" spans="1:19" x14ac:dyDescent="0.25">
      <c r="A149" s="86" t="s">
        <v>552</v>
      </c>
      <c r="B149" s="87" t="s">
        <v>553</v>
      </c>
      <c r="C149" s="86" t="s">
        <v>554</v>
      </c>
      <c r="D149" s="86" t="s">
        <v>534</v>
      </c>
      <c r="E149" s="86" t="s">
        <v>535</v>
      </c>
      <c r="F149" s="53" t="s">
        <v>421</v>
      </c>
      <c r="G149" s="54" t="s">
        <v>387</v>
      </c>
      <c r="H149" s="54" t="s">
        <v>56</v>
      </c>
      <c r="I149" s="58">
        <v>30</v>
      </c>
      <c r="J149" s="86" t="s">
        <v>536</v>
      </c>
      <c r="K149" s="53" t="s">
        <v>551</v>
      </c>
      <c r="L149" s="65" t="s">
        <v>537</v>
      </c>
      <c r="M149" s="11" t="s">
        <v>32</v>
      </c>
      <c r="N149" s="73" t="s">
        <v>32</v>
      </c>
      <c r="O149" s="71" t="s">
        <v>538</v>
      </c>
      <c r="P149" s="88" t="s">
        <v>424</v>
      </c>
      <c r="Q149" s="71" t="s">
        <v>442</v>
      </c>
      <c r="R149" s="71" t="s">
        <v>539</v>
      </c>
      <c r="S149" s="65" t="s">
        <v>536</v>
      </c>
    </row>
    <row r="150" spans="1:19" x14ac:dyDescent="0.25">
      <c r="A150" s="86" t="s">
        <v>555</v>
      </c>
      <c r="B150" s="87" t="s">
        <v>556</v>
      </c>
      <c r="C150" s="86" t="s">
        <v>557</v>
      </c>
      <c r="D150" s="86" t="s">
        <v>534</v>
      </c>
      <c r="E150" s="86" t="s">
        <v>535</v>
      </c>
      <c r="F150" s="53" t="s">
        <v>421</v>
      </c>
      <c r="G150" s="54" t="s">
        <v>387</v>
      </c>
      <c r="H150" s="54" t="s">
        <v>56</v>
      </c>
      <c r="I150" s="58">
        <v>100</v>
      </c>
      <c r="J150" s="86" t="s">
        <v>536</v>
      </c>
      <c r="K150" s="66">
        <v>58</v>
      </c>
      <c r="L150" s="65" t="s">
        <v>537</v>
      </c>
      <c r="M150" s="11" t="s">
        <v>32</v>
      </c>
      <c r="N150" s="73" t="s">
        <v>32</v>
      </c>
      <c r="O150" s="71" t="s">
        <v>558</v>
      </c>
      <c r="P150" s="87" t="s">
        <v>424</v>
      </c>
      <c r="Q150" s="71" t="s">
        <v>559</v>
      </c>
      <c r="R150" s="71" t="s">
        <v>560</v>
      </c>
      <c r="S150" s="65" t="s">
        <v>536</v>
      </c>
    </row>
    <row r="151" spans="1:19" x14ac:dyDescent="0.25">
      <c r="A151" s="86" t="s">
        <v>555</v>
      </c>
      <c r="B151" s="87" t="s">
        <v>556</v>
      </c>
      <c r="C151" s="86" t="s">
        <v>561</v>
      </c>
      <c r="D151" s="86" t="s">
        <v>534</v>
      </c>
      <c r="E151" s="86" t="s">
        <v>535</v>
      </c>
      <c r="F151" s="53" t="s">
        <v>421</v>
      </c>
      <c r="G151" s="54" t="s">
        <v>387</v>
      </c>
      <c r="H151" s="54" t="s">
        <v>56</v>
      </c>
      <c r="I151" s="58">
        <v>100</v>
      </c>
      <c r="J151" s="86" t="s">
        <v>536</v>
      </c>
      <c r="K151" s="66">
        <v>58</v>
      </c>
      <c r="L151" s="65" t="s">
        <v>537</v>
      </c>
      <c r="M151" s="11" t="s">
        <v>32</v>
      </c>
      <c r="N151" s="73" t="s">
        <v>32</v>
      </c>
      <c r="O151" s="71" t="s">
        <v>558</v>
      </c>
      <c r="P151" s="87" t="s">
        <v>424</v>
      </c>
      <c r="Q151" s="71" t="s">
        <v>559</v>
      </c>
      <c r="R151" s="71" t="s">
        <v>560</v>
      </c>
      <c r="S151" s="65" t="s">
        <v>536</v>
      </c>
    </row>
    <row r="152" spans="1:19" x14ac:dyDescent="0.25">
      <c r="A152" s="86" t="s">
        <v>562</v>
      </c>
      <c r="B152" s="87" t="s">
        <v>563</v>
      </c>
      <c r="C152" s="86" t="s">
        <v>564</v>
      </c>
      <c r="D152" s="86" t="s">
        <v>565</v>
      </c>
      <c r="E152" s="86" t="s">
        <v>566</v>
      </c>
      <c r="F152" s="86" t="s">
        <v>55</v>
      </c>
      <c r="G152" s="54" t="s">
        <v>28</v>
      </c>
      <c r="H152" s="54" t="s">
        <v>56</v>
      </c>
      <c r="I152" s="66">
        <v>50</v>
      </c>
      <c r="J152" s="15" t="s">
        <v>567</v>
      </c>
      <c r="K152" s="66">
        <v>80</v>
      </c>
      <c r="L152" s="20" t="s">
        <v>568</v>
      </c>
      <c r="M152" s="11" t="s">
        <v>32</v>
      </c>
      <c r="N152" s="73" t="s">
        <v>32</v>
      </c>
      <c r="O152" s="71" t="s">
        <v>569</v>
      </c>
      <c r="P152" s="91" t="s">
        <v>34</v>
      </c>
      <c r="Q152" s="71" t="s">
        <v>35</v>
      </c>
      <c r="R152" s="71" t="s">
        <v>334</v>
      </c>
      <c r="S152" s="24" t="s">
        <v>570</v>
      </c>
    </row>
    <row r="153" spans="1:19" x14ac:dyDescent="0.25">
      <c r="A153" s="86" t="s">
        <v>562</v>
      </c>
      <c r="B153" s="87" t="s">
        <v>563</v>
      </c>
      <c r="C153" s="86" t="s">
        <v>571</v>
      </c>
      <c r="D153" s="86" t="s">
        <v>565</v>
      </c>
      <c r="E153" s="86" t="s">
        <v>566</v>
      </c>
      <c r="F153" s="86" t="s">
        <v>55</v>
      </c>
      <c r="G153" s="54" t="s">
        <v>28</v>
      </c>
      <c r="H153" s="54" t="s">
        <v>56</v>
      </c>
      <c r="I153" s="66">
        <v>100</v>
      </c>
      <c r="J153" s="15" t="s">
        <v>572</v>
      </c>
      <c r="K153" s="66">
        <v>80</v>
      </c>
      <c r="L153" s="20" t="s">
        <v>568</v>
      </c>
      <c r="M153" s="11" t="s">
        <v>32</v>
      </c>
      <c r="N153" s="73" t="s">
        <v>32</v>
      </c>
      <c r="O153" s="71" t="s">
        <v>569</v>
      </c>
      <c r="P153" s="91" t="s">
        <v>34</v>
      </c>
      <c r="Q153" s="71" t="s">
        <v>35</v>
      </c>
      <c r="R153" s="71" t="s">
        <v>334</v>
      </c>
      <c r="S153" s="9" t="s">
        <v>570</v>
      </c>
    </row>
    <row r="154" spans="1:19" x14ac:dyDescent="0.25">
      <c r="A154" s="86" t="s">
        <v>562</v>
      </c>
      <c r="B154" s="87" t="s">
        <v>563</v>
      </c>
      <c r="C154" s="86" t="s">
        <v>573</v>
      </c>
      <c r="D154" s="86" t="s">
        <v>565</v>
      </c>
      <c r="E154" s="86" t="s">
        <v>566</v>
      </c>
      <c r="F154" s="38" t="s">
        <v>41</v>
      </c>
      <c r="G154" s="54" t="s">
        <v>28</v>
      </c>
      <c r="H154" s="11" t="s">
        <v>42</v>
      </c>
      <c r="I154" s="16" t="s">
        <v>42</v>
      </c>
      <c r="J154" s="16" t="s">
        <v>42</v>
      </c>
      <c r="K154" s="16" t="s">
        <v>42</v>
      </c>
      <c r="L154" s="16" t="s">
        <v>42</v>
      </c>
      <c r="M154" s="11" t="s">
        <v>42</v>
      </c>
      <c r="N154" s="73" t="s">
        <v>42</v>
      </c>
      <c r="O154" s="71" t="s">
        <v>569</v>
      </c>
      <c r="P154" s="91" t="s">
        <v>34</v>
      </c>
      <c r="Q154" s="71" t="s">
        <v>35</v>
      </c>
      <c r="R154" s="71" t="s">
        <v>334</v>
      </c>
      <c r="S154" s="9" t="str">
        <f>HYPERLINK(CONCATENATE("https://www.analog.com/", A154, "/datasheet"))</f>
        <v>https://www.analog.com/ADCLK925S/datasheet</v>
      </c>
    </row>
    <row r="155" spans="1:19" x14ac:dyDescent="0.25">
      <c r="A155" s="86" t="s">
        <v>574</v>
      </c>
      <c r="B155" s="87" t="s">
        <v>575</v>
      </c>
      <c r="C155" s="86" t="s">
        <v>576</v>
      </c>
      <c r="D155" s="86" t="s">
        <v>577</v>
      </c>
      <c r="E155" s="86" t="s">
        <v>578</v>
      </c>
      <c r="F155" s="86" t="s">
        <v>55</v>
      </c>
      <c r="G155" s="54" t="s">
        <v>28</v>
      </c>
      <c r="H155" s="54" t="s">
        <v>56</v>
      </c>
      <c r="I155" s="66">
        <v>50</v>
      </c>
      <c r="J155" s="15" t="s">
        <v>574</v>
      </c>
      <c r="K155" s="66">
        <v>86</v>
      </c>
      <c r="L155" s="15" t="s">
        <v>579</v>
      </c>
      <c r="M155" s="11" t="s">
        <v>32</v>
      </c>
      <c r="N155" s="73" t="s">
        <v>32</v>
      </c>
      <c r="O155" s="71" t="s">
        <v>580</v>
      </c>
      <c r="P155" s="88" t="s">
        <v>34</v>
      </c>
      <c r="Q155" s="71" t="s">
        <v>35</v>
      </c>
      <c r="R155" s="71" t="s">
        <v>581</v>
      </c>
      <c r="S155" s="24" t="s">
        <v>582</v>
      </c>
    </row>
    <row r="156" spans="1:19" ht="17.100000000000001" customHeight="1" x14ac:dyDescent="0.25">
      <c r="A156" s="61" t="s">
        <v>574</v>
      </c>
      <c r="B156" s="87" t="s">
        <v>575</v>
      </c>
      <c r="C156" s="61" t="s">
        <v>583</v>
      </c>
      <c r="D156" s="61" t="s">
        <v>577</v>
      </c>
      <c r="E156" s="61" t="s">
        <v>578</v>
      </c>
      <c r="F156" s="61" t="s">
        <v>55</v>
      </c>
      <c r="G156" s="54" t="s">
        <v>28</v>
      </c>
      <c r="H156" s="54" t="s">
        <v>56</v>
      </c>
      <c r="I156" s="57">
        <v>50</v>
      </c>
      <c r="J156" s="14" t="s">
        <v>584</v>
      </c>
      <c r="K156" s="57">
        <v>86</v>
      </c>
      <c r="L156" s="15" t="s">
        <v>579</v>
      </c>
      <c r="M156" s="11" t="s">
        <v>32</v>
      </c>
      <c r="N156" s="73" t="s">
        <v>32</v>
      </c>
      <c r="O156" s="71" t="s">
        <v>580</v>
      </c>
      <c r="P156" s="88" t="s">
        <v>34</v>
      </c>
      <c r="Q156" s="71" t="s">
        <v>35</v>
      </c>
      <c r="R156" s="71" t="s">
        <v>581</v>
      </c>
      <c r="S156" s="24" t="s">
        <v>582</v>
      </c>
    </row>
    <row r="157" spans="1:19" x14ac:dyDescent="0.25">
      <c r="A157" s="61" t="s">
        <v>574</v>
      </c>
      <c r="B157" s="87" t="s">
        <v>575</v>
      </c>
      <c r="C157" s="61" t="s">
        <v>585</v>
      </c>
      <c r="D157" s="61" t="s">
        <v>577</v>
      </c>
      <c r="E157" s="61" t="s">
        <v>578</v>
      </c>
      <c r="F157" s="10" t="s">
        <v>41</v>
      </c>
      <c r="G157" s="54" t="s">
        <v>28</v>
      </c>
      <c r="H157" s="11" t="s">
        <v>42</v>
      </c>
      <c r="I157" s="11" t="s">
        <v>42</v>
      </c>
      <c r="J157" s="11" t="s">
        <v>42</v>
      </c>
      <c r="K157" s="11" t="s">
        <v>42</v>
      </c>
      <c r="L157" s="11" t="s">
        <v>42</v>
      </c>
      <c r="M157" s="11" t="s">
        <v>42</v>
      </c>
      <c r="N157" s="73" t="s">
        <v>42</v>
      </c>
      <c r="O157" s="71" t="s">
        <v>580</v>
      </c>
      <c r="P157" s="53" t="s">
        <v>34</v>
      </c>
      <c r="Q157" s="71" t="s">
        <v>35</v>
      </c>
      <c r="R157" s="71" t="s">
        <v>581</v>
      </c>
      <c r="S157" s="9" t="str">
        <f>HYPERLINK(CONCATENATE("https://www.analog.com/", A157, "/datasheet"))</f>
        <v>https://www.analog.com/ADF4108S/datasheet</v>
      </c>
    </row>
    <row r="158" spans="1:19" x14ac:dyDescent="0.25">
      <c r="A158" s="59" t="s">
        <v>586</v>
      </c>
      <c r="B158" s="87" t="s">
        <v>587</v>
      </c>
      <c r="C158" s="59" t="s">
        <v>588</v>
      </c>
      <c r="D158" s="61" t="s">
        <v>249</v>
      </c>
      <c r="E158" s="61" t="s">
        <v>589</v>
      </c>
      <c r="F158" s="59" t="s">
        <v>27</v>
      </c>
      <c r="G158" s="54" t="s">
        <v>28</v>
      </c>
      <c r="H158" s="54" t="s">
        <v>29</v>
      </c>
      <c r="I158" s="55" t="s">
        <v>590</v>
      </c>
      <c r="J158" s="8" t="s">
        <v>591</v>
      </c>
      <c r="K158" s="11" t="s">
        <v>32</v>
      </c>
      <c r="L158" s="11" t="s">
        <v>32</v>
      </c>
      <c r="M158" s="11" t="s">
        <v>32</v>
      </c>
      <c r="N158" s="73" t="s">
        <v>32</v>
      </c>
      <c r="O158" s="71" t="s">
        <v>63</v>
      </c>
      <c r="P158" s="53" t="s">
        <v>59</v>
      </c>
      <c r="Q158" s="71" t="s">
        <v>35</v>
      </c>
      <c r="R158" s="71" t="s">
        <v>64</v>
      </c>
      <c r="S158" s="9" t="str">
        <f>HYPERLINK(CONCATENATE("https://www.analog.com/", A158, "/datasheet"))</f>
        <v>https://www.analog.com/ADG201S/datasheet</v>
      </c>
    </row>
    <row r="159" spans="1:19" x14ac:dyDescent="0.25">
      <c r="A159" s="59" t="s">
        <v>592</v>
      </c>
      <c r="B159" s="87" t="s">
        <v>593</v>
      </c>
      <c r="C159" s="59" t="s">
        <v>594</v>
      </c>
      <c r="D159" s="61" t="s">
        <v>595</v>
      </c>
      <c r="E159" s="61" t="s">
        <v>596</v>
      </c>
      <c r="F159" s="59" t="s">
        <v>76</v>
      </c>
      <c r="G159" s="54" t="s">
        <v>387</v>
      </c>
      <c r="H159" s="54" t="s">
        <v>29</v>
      </c>
      <c r="I159" s="59" t="s">
        <v>597</v>
      </c>
      <c r="J159" s="11" t="s">
        <v>32</v>
      </c>
      <c r="K159" s="59" t="s">
        <v>598</v>
      </c>
      <c r="L159" s="11" t="s">
        <v>32</v>
      </c>
      <c r="M159" s="11" t="s">
        <v>32</v>
      </c>
      <c r="N159" s="73" t="s">
        <v>32</v>
      </c>
      <c r="O159" s="71" t="s">
        <v>77</v>
      </c>
      <c r="P159" s="16" t="s">
        <v>42</v>
      </c>
      <c r="Q159" s="79" t="s">
        <v>42</v>
      </c>
      <c r="R159" s="79" t="s">
        <v>42</v>
      </c>
      <c r="S159" s="9" t="str">
        <f>HYPERLINK(CONCATENATE("https://www.analog.com/", A159, "/datasheet"))</f>
        <v>https://www.analog.com/ADH1015S/datasheet</v>
      </c>
    </row>
    <row r="160" spans="1:19" x14ac:dyDescent="0.25">
      <c r="A160" s="61" t="s">
        <v>599</v>
      </c>
      <c r="B160" s="87" t="s">
        <v>600</v>
      </c>
      <c r="C160" s="61" t="s">
        <v>601</v>
      </c>
      <c r="D160" s="61" t="s">
        <v>595</v>
      </c>
      <c r="E160" s="61" t="s">
        <v>596</v>
      </c>
      <c r="F160" s="59" t="s">
        <v>76</v>
      </c>
      <c r="G160" s="54" t="s">
        <v>387</v>
      </c>
      <c r="H160" s="54" t="s">
        <v>29</v>
      </c>
      <c r="I160" s="60" t="s">
        <v>597</v>
      </c>
      <c r="J160" s="11" t="s">
        <v>32</v>
      </c>
      <c r="K160" s="59" t="s">
        <v>598</v>
      </c>
      <c r="L160" s="11" t="s">
        <v>32</v>
      </c>
      <c r="M160" s="11" t="s">
        <v>32</v>
      </c>
      <c r="N160" s="73" t="s">
        <v>32</v>
      </c>
      <c r="O160" s="71" t="s">
        <v>77</v>
      </c>
      <c r="P160" s="79" t="s">
        <v>42</v>
      </c>
      <c r="Q160" s="79" t="s">
        <v>42</v>
      </c>
      <c r="R160" s="79" t="s">
        <v>42</v>
      </c>
      <c r="S160" s="24" t="s">
        <v>602</v>
      </c>
    </row>
    <row r="161" spans="1:19" x14ac:dyDescent="0.25">
      <c r="A161" s="61" t="s">
        <v>603</v>
      </c>
      <c r="B161" s="87" t="s">
        <v>604</v>
      </c>
      <c r="C161" s="61" t="s">
        <v>605</v>
      </c>
      <c r="D161" s="61" t="s">
        <v>595</v>
      </c>
      <c r="E161" s="61" t="s">
        <v>596</v>
      </c>
      <c r="F161" s="61" t="s">
        <v>606</v>
      </c>
      <c r="G161" s="54" t="s">
        <v>387</v>
      </c>
      <c r="H161" s="54" t="s">
        <v>29</v>
      </c>
      <c r="I161" s="60" t="s">
        <v>597</v>
      </c>
      <c r="J161" s="11" t="s">
        <v>32</v>
      </c>
      <c r="K161" s="59" t="s">
        <v>598</v>
      </c>
      <c r="L161" s="11" t="s">
        <v>32</v>
      </c>
      <c r="M161" s="11" t="s">
        <v>32</v>
      </c>
      <c r="N161" s="73" t="s">
        <v>32</v>
      </c>
      <c r="O161" s="71" t="s">
        <v>607</v>
      </c>
      <c r="P161" s="87" t="s">
        <v>59</v>
      </c>
      <c r="Q161" s="71" t="s">
        <v>43</v>
      </c>
      <c r="R161" s="71" t="s">
        <v>608</v>
      </c>
      <c r="S161" s="24" t="s">
        <v>609</v>
      </c>
    </row>
    <row r="162" spans="1:19" x14ac:dyDescent="0.25">
      <c r="A162" s="61" t="s">
        <v>610</v>
      </c>
      <c r="B162" s="87" t="s">
        <v>611</v>
      </c>
      <c r="C162" s="61" t="s">
        <v>612</v>
      </c>
      <c r="D162" s="61" t="s">
        <v>595</v>
      </c>
      <c r="E162" s="61" t="s">
        <v>596</v>
      </c>
      <c r="F162" s="59" t="s">
        <v>76</v>
      </c>
      <c r="G162" s="54" t="s">
        <v>387</v>
      </c>
      <c r="H162" s="54" t="s">
        <v>29</v>
      </c>
      <c r="I162" s="60" t="s">
        <v>597</v>
      </c>
      <c r="J162" s="11" t="s">
        <v>32</v>
      </c>
      <c r="K162" s="59" t="s">
        <v>598</v>
      </c>
      <c r="L162" s="11" t="s">
        <v>32</v>
      </c>
      <c r="M162" s="11" t="s">
        <v>32</v>
      </c>
      <c r="N162" s="73" t="s">
        <v>32</v>
      </c>
      <c r="O162" s="71" t="s">
        <v>77</v>
      </c>
      <c r="P162" s="79" t="s">
        <v>42</v>
      </c>
      <c r="Q162" s="79" t="s">
        <v>42</v>
      </c>
      <c r="R162" s="79" t="s">
        <v>42</v>
      </c>
      <c r="S162" s="24" t="s">
        <v>613</v>
      </c>
    </row>
    <row r="163" spans="1:19" x14ac:dyDescent="0.25">
      <c r="A163" s="61" t="s">
        <v>614</v>
      </c>
      <c r="B163" s="87" t="s">
        <v>615</v>
      </c>
      <c r="C163" s="61" t="s">
        <v>616</v>
      </c>
      <c r="D163" s="61" t="s">
        <v>328</v>
      </c>
      <c r="E163" s="61" t="s">
        <v>617</v>
      </c>
      <c r="F163" s="59" t="s">
        <v>76</v>
      </c>
      <c r="G163" s="63" t="s">
        <v>618</v>
      </c>
      <c r="H163" s="54" t="s">
        <v>29</v>
      </c>
      <c r="I163" s="60" t="s">
        <v>597</v>
      </c>
      <c r="J163" s="11" t="s">
        <v>32</v>
      </c>
      <c r="K163" s="59" t="s">
        <v>598</v>
      </c>
      <c r="L163" s="11" t="s">
        <v>32</v>
      </c>
      <c r="M163" s="11" t="s">
        <v>32</v>
      </c>
      <c r="N163" s="73" t="s">
        <v>32</v>
      </c>
      <c r="O163" s="71" t="s">
        <v>77</v>
      </c>
      <c r="P163" s="79" t="s">
        <v>42</v>
      </c>
      <c r="Q163" s="79" t="s">
        <v>42</v>
      </c>
      <c r="R163" s="79" t="s">
        <v>42</v>
      </c>
      <c r="S163" s="24" t="s">
        <v>619</v>
      </c>
    </row>
    <row r="164" spans="1:19" x14ac:dyDescent="0.25">
      <c r="A164" s="61" t="s">
        <v>620</v>
      </c>
      <c r="B164" s="87" t="s">
        <v>621</v>
      </c>
      <c r="C164" s="61" t="s">
        <v>622</v>
      </c>
      <c r="D164" s="61" t="s">
        <v>595</v>
      </c>
      <c r="E164" s="61" t="s">
        <v>596</v>
      </c>
      <c r="F164" s="61" t="s">
        <v>606</v>
      </c>
      <c r="G164" s="63" t="s">
        <v>618</v>
      </c>
      <c r="H164" s="54" t="s">
        <v>29</v>
      </c>
      <c r="I164" s="60" t="s">
        <v>597</v>
      </c>
      <c r="J164" s="11" t="s">
        <v>32</v>
      </c>
      <c r="K164" s="59" t="s">
        <v>598</v>
      </c>
      <c r="L164" s="11" t="s">
        <v>32</v>
      </c>
      <c r="M164" s="11" t="s">
        <v>32</v>
      </c>
      <c r="N164" s="73" t="s">
        <v>32</v>
      </c>
      <c r="O164" s="71" t="s">
        <v>623</v>
      </c>
      <c r="P164" s="87" t="s">
        <v>34</v>
      </c>
      <c r="Q164" s="71" t="s">
        <v>43</v>
      </c>
      <c r="R164" s="71" t="s">
        <v>624</v>
      </c>
      <c r="S164" s="24" t="s">
        <v>625</v>
      </c>
    </row>
    <row r="165" spans="1:19" x14ac:dyDescent="0.25">
      <c r="A165" s="59" t="s">
        <v>626</v>
      </c>
      <c r="B165" s="87" t="s">
        <v>627</v>
      </c>
      <c r="C165" s="59" t="s">
        <v>628</v>
      </c>
      <c r="D165" s="61" t="s">
        <v>595</v>
      </c>
      <c r="E165" s="61" t="s">
        <v>629</v>
      </c>
      <c r="F165" s="59" t="s">
        <v>76</v>
      </c>
      <c r="G165" s="54" t="s">
        <v>387</v>
      </c>
      <c r="H165" s="54" t="s">
        <v>29</v>
      </c>
      <c r="I165" s="60" t="s">
        <v>597</v>
      </c>
      <c r="J165" s="11" t="s">
        <v>32</v>
      </c>
      <c r="K165" s="59" t="s">
        <v>598</v>
      </c>
      <c r="L165" s="11" t="s">
        <v>32</v>
      </c>
      <c r="M165" s="11" t="s">
        <v>32</v>
      </c>
      <c r="N165" s="73" t="s">
        <v>32</v>
      </c>
      <c r="O165" s="71" t="s">
        <v>77</v>
      </c>
      <c r="P165" s="79" t="s">
        <v>42</v>
      </c>
      <c r="Q165" s="79" t="s">
        <v>42</v>
      </c>
      <c r="R165" s="79" t="s">
        <v>42</v>
      </c>
      <c r="S165" s="9" t="str">
        <f>HYPERLINK(CONCATENATE("https://www.analog.com/", A165, "/datasheet"))</f>
        <v>https://www.analog.com/ADH141S/datasheet</v>
      </c>
    </row>
    <row r="166" spans="1:19" x14ac:dyDescent="0.25">
      <c r="A166" s="61" t="s">
        <v>630</v>
      </c>
      <c r="B166" s="87" t="s">
        <v>631</v>
      </c>
      <c r="C166" s="61" t="s">
        <v>632</v>
      </c>
      <c r="D166" s="61" t="s">
        <v>633</v>
      </c>
      <c r="E166" s="61" t="s">
        <v>634</v>
      </c>
      <c r="F166" s="61" t="s">
        <v>606</v>
      </c>
      <c r="G166" s="54" t="s">
        <v>387</v>
      </c>
      <c r="H166" s="54" t="s">
        <v>29</v>
      </c>
      <c r="I166" s="60" t="s">
        <v>597</v>
      </c>
      <c r="J166" s="11" t="s">
        <v>32</v>
      </c>
      <c r="K166" s="59" t="s">
        <v>598</v>
      </c>
      <c r="L166" s="11" t="s">
        <v>32</v>
      </c>
      <c r="M166" s="11" t="s">
        <v>32</v>
      </c>
      <c r="N166" s="73" t="s">
        <v>32</v>
      </c>
      <c r="O166" s="71" t="s">
        <v>623</v>
      </c>
      <c r="P166" s="87" t="s">
        <v>34</v>
      </c>
      <c r="Q166" s="71" t="s">
        <v>635</v>
      </c>
      <c r="R166" s="71" t="s">
        <v>624</v>
      </c>
      <c r="S166" s="24" t="s">
        <v>636</v>
      </c>
    </row>
    <row r="167" spans="1:19" x14ac:dyDescent="0.25">
      <c r="A167" s="59" t="s">
        <v>630</v>
      </c>
      <c r="B167" s="87" t="s">
        <v>631</v>
      </c>
      <c r="C167" s="59" t="s">
        <v>637</v>
      </c>
      <c r="D167" s="61" t="s">
        <v>633</v>
      </c>
      <c r="E167" s="61" t="s">
        <v>634</v>
      </c>
      <c r="F167" s="59" t="s">
        <v>76</v>
      </c>
      <c r="G167" s="54" t="s">
        <v>387</v>
      </c>
      <c r="H167" s="54" t="s">
        <v>29</v>
      </c>
      <c r="I167" s="60" t="s">
        <v>597</v>
      </c>
      <c r="J167" s="11" t="s">
        <v>32</v>
      </c>
      <c r="K167" s="59" t="s">
        <v>598</v>
      </c>
      <c r="L167" s="11" t="s">
        <v>32</v>
      </c>
      <c r="M167" s="11" t="s">
        <v>32</v>
      </c>
      <c r="N167" s="73" t="s">
        <v>32</v>
      </c>
      <c r="O167" s="71" t="s">
        <v>77</v>
      </c>
      <c r="P167" s="79" t="s">
        <v>42</v>
      </c>
      <c r="Q167" s="79" t="s">
        <v>42</v>
      </c>
      <c r="R167" s="79" t="s">
        <v>42</v>
      </c>
      <c r="S167" s="9" t="str">
        <f>HYPERLINK(CONCATENATE("https://www.analog.com/", A167, "/datasheet"))</f>
        <v>https://www.analog.com/ADH232S/datasheet</v>
      </c>
    </row>
    <row r="168" spans="1:19" x14ac:dyDescent="0.25">
      <c r="A168" s="61" t="s">
        <v>638</v>
      </c>
      <c r="B168" s="87" t="s">
        <v>639</v>
      </c>
      <c r="C168" s="61" t="s">
        <v>640</v>
      </c>
      <c r="D168" s="61" t="s">
        <v>633</v>
      </c>
      <c r="E168" s="61" t="s">
        <v>634</v>
      </c>
      <c r="F168" s="59" t="s">
        <v>27</v>
      </c>
      <c r="G168" s="54" t="s">
        <v>387</v>
      </c>
      <c r="H168" s="54" t="s">
        <v>29</v>
      </c>
      <c r="I168" s="60" t="s">
        <v>597</v>
      </c>
      <c r="J168" s="11" t="s">
        <v>32</v>
      </c>
      <c r="K168" s="59" t="s">
        <v>598</v>
      </c>
      <c r="L168" s="11" t="s">
        <v>32</v>
      </c>
      <c r="M168" s="11" t="s">
        <v>32</v>
      </c>
      <c r="N168" s="73" t="s">
        <v>32</v>
      </c>
      <c r="O168" s="71" t="s">
        <v>641</v>
      </c>
      <c r="P168" s="87" t="s">
        <v>34</v>
      </c>
      <c r="Q168" s="71" t="s">
        <v>43</v>
      </c>
      <c r="R168" s="71" t="s">
        <v>642</v>
      </c>
      <c r="S168" s="9" t="str">
        <f>HYPERLINK(CONCATENATE("https://www.analog.com/", A168, "/datasheet"))</f>
        <v>https://www.analog.com/ADH244S/datasheet</v>
      </c>
    </row>
    <row r="169" spans="1:19" x14ac:dyDescent="0.25">
      <c r="A169" s="61" t="s">
        <v>643</v>
      </c>
      <c r="B169" s="87" t="s">
        <v>644</v>
      </c>
      <c r="C169" s="61" t="s">
        <v>645</v>
      </c>
      <c r="D169" s="61" t="s">
        <v>633</v>
      </c>
      <c r="E169" s="61" t="s">
        <v>634</v>
      </c>
      <c r="F169" s="61" t="s">
        <v>606</v>
      </c>
      <c r="G169" s="63" t="s">
        <v>646</v>
      </c>
      <c r="H169" s="54" t="s">
        <v>29</v>
      </c>
      <c r="I169" s="60" t="s">
        <v>597</v>
      </c>
      <c r="J169" s="11" t="s">
        <v>32</v>
      </c>
      <c r="K169" s="59" t="s">
        <v>598</v>
      </c>
      <c r="L169" s="11" t="s">
        <v>32</v>
      </c>
      <c r="M169" s="11" t="s">
        <v>32</v>
      </c>
      <c r="N169" s="73" t="s">
        <v>32</v>
      </c>
      <c r="O169" s="71" t="s">
        <v>641</v>
      </c>
      <c r="P169" s="87" t="s">
        <v>34</v>
      </c>
      <c r="Q169" s="71" t="s">
        <v>43</v>
      </c>
      <c r="R169" s="71" t="s">
        <v>642</v>
      </c>
      <c r="S169" s="24" t="s">
        <v>647</v>
      </c>
    </row>
    <row r="170" spans="1:19" x14ac:dyDescent="0.25">
      <c r="A170" s="61" t="s">
        <v>648</v>
      </c>
      <c r="B170" s="87" t="s">
        <v>649</v>
      </c>
      <c r="C170" s="61" t="s">
        <v>650</v>
      </c>
      <c r="D170" s="61" t="s">
        <v>595</v>
      </c>
      <c r="E170" s="61" t="s">
        <v>596</v>
      </c>
      <c r="F170" s="59" t="s">
        <v>76</v>
      </c>
      <c r="G170" s="63" t="s">
        <v>618</v>
      </c>
      <c r="H170" s="54" t="s">
        <v>29</v>
      </c>
      <c r="I170" s="60" t="s">
        <v>597</v>
      </c>
      <c r="J170" s="11" t="s">
        <v>32</v>
      </c>
      <c r="K170" s="59" t="s">
        <v>598</v>
      </c>
      <c r="L170" s="11" t="s">
        <v>32</v>
      </c>
      <c r="M170" s="11" t="s">
        <v>32</v>
      </c>
      <c r="N170" s="73" t="s">
        <v>32</v>
      </c>
      <c r="O170" s="71" t="s">
        <v>77</v>
      </c>
      <c r="P170" s="79" t="s">
        <v>42</v>
      </c>
      <c r="Q170" s="79" t="s">
        <v>42</v>
      </c>
      <c r="R170" s="79" t="s">
        <v>42</v>
      </c>
      <c r="S170" s="24" t="s">
        <v>651</v>
      </c>
    </row>
    <row r="171" spans="1:19" x14ac:dyDescent="0.25">
      <c r="A171" s="61" t="s">
        <v>652</v>
      </c>
      <c r="B171" s="87" t="s">
        <v>653</v>
      </c>
      <c r="C171" s="61" t="s">
        <v>654</v>
      </c>
      <c r="D171" s="61" t="s">
        <v>328</v>
      </c>
      <c r="E171" s="86" t="s">
        <v>655</v>
      </c>
      <c r="F171" s="59" t="s">
        <v>76</v>
      </c>
      <c r="G171" s="54" t="s">
        <v>387</v>
      </c>
      <c r="H171" s="54" t="s">
        <v>29</v>
      </c>
      <c r="I171" s="60" t="s">
        <v>597</v>
      </c>
      <c r="J171" s="11" t="s">
        <v>32</v>
      </c>
      <c r="K171" s="59" t="s">
        <v>598</v>
      </c>
      <c r="L171" s="11" t="s">
        <v>32</v>
      </c>
      <c r="M171" s="11" t="s">
        <v>32</v>
      </c>
      <c r="N171" s="73" t="s">
        <v>32</v>
      </c>
      <c r="O171" s="71" t="s">
        <v>77</v>
      </c>
      <c r="P171" s="79" t="s">
        <v>42</v>
      </c>
      <c r="Q171" s="79" t="s">
        <v>42</v>
      </c>
      <c r="R171" s="79" t="s">
        <v>42</v>
      </c>
      <c r="S171" s="9" t="s">
        <v>656</v>
      </c>
    </row>
    <row r="172" spans="1:19" x14ac:dyDescent="0.25">
      <c r="A172" s="61" t="s">
        <v>657</v>
      </c>
      <c r="B172" s="87" t="s">
        <v>658</v>
      </c>
      <c r="C172" s="60" t="s">
        <v>659</v>
      </c>
      <c r="D172" s="61" t="s">
        <v>633</v>
      </c>
      <c r="E172" s="86" t="s">
        <v>634</v>
      </c>
      <c r="F172" s="59" t="s">
        <v>606</v>
      </c>
      <c r="G172" s="54" t="s">
        <v>387</v>
      </c>
      <c r="H172" s="54" t="s">
        <v>29</v>
      </c>
      <c r="I172" s="60" t="s">
        <v>597</v>
      </c>
      <c r="J172" s="11" t="s">
        <v>32</v>
      </c>
      <c r="K172" s="59" t="s">
        <v>598</v>
      </c>
      <c r="L172" s="11" t="s">
        <v>32</v>
      </c>
      <c r="M172" s="11" t="s">
        <v>32</v>
      </c>
      <c r="N172" s="73" t="s">
        <v>32</v>
      </c>
      <c r="O172" s="71" t="s">
        <v>660</v>
      </c>
      <c r="P172" s="87" t="s">
        <v>34</v>
      </c>
      <c r="Q172" s="71" t="s">
        <v>43</v>
      </c>
      <c r="R172" s="71" t="s">
        <v>661</v>
      </c>
      <c r="S172" s="24" t="s">
        <v>662</v>
      </c>
    </row>
    <row r="173" spans="1:19" x14ac:dyDescent="0.25">
      <c r="A173" s="61" t="s">
        <v>663</v>
      </c>
      <c r="B173" s="87" t="s">
        <v>664</v>
      </c>
      <c r="C173" s="61" t="s">
        <v>665</v>
      </c>
      <c r="D173" s="61" t="s">
        <v>633</v>
      </c>
      <c r="E173" s="86" t="s">
        <v>666</v>
      </c>
      <c r="F173" s="59" t="s">
        <v>27</v>
      </c>
      <c r="G173" s="51" t="s">
        <v>387</v>
      </c>
      <c r="H173" s="54" t="s">
        <v>29</v>
      </c>
      <c r="I173" s="60" t="s">
        <v>597</v>
      </c>
      <c r="J173" s="11" t="s">
        <v>32</v>
      </c>
      <c r="K173" s="59" t="s">
        <v>598</v>
      </c>
      <c r="L173" s="11" t="s">
        <v>32</v>
      </c>
      <c r="M173" s="11" t="s">
        <v>32</v>
      </c>
      <c r="N173" s="73" t="s">
        <v>32</v>
      </c>
      <c r="O173" s="71" t="s">
        <v>623</v>
      </c>
      <c r="P173" s="87" t="s">
        <v>34</v>
      </c>
      <c r="Q173" s="71" t="s">
        <v>635</v>
      </c>
      <c r="R173" s="71" t="s">
        <v>624</v>
      </c>
      <c r="S173" s="9" t="str">
        <f>HYPERLINK(CONCATENATE("https://www.analog.com/", A173, "/datasheet"))</f>
        <v>https://www.analog.com/ADH346S/datasheet</v>
      </c>
    </row>
    <row r="174" spans="1:19" x14ac:dyDescent="0.25">
      <c r="A174" s="59" t="s">
        <v>663</v>
      </c>
      <c r="B174" s="87" t="s">
        <v>664</v>
      </c>
      <c r="C174" s="59" t="s">
        <v>667</v>
      </c>
      <c r="D174" s="61" t="s">
        <v>633</v>
      </c>
      <c r="E174" s="86" t="s">
        <v>666</v>
      </c>
      <c r="F174" s="59" t="s">
        <v>76</v>
      </c>
      <c r="G174" s="54" t="s">
        <v>387</v>
      </c>
      <c r="H174" s="54" t="s">
        <v>29</v>
      </c>
      <c r="I174" s="60" t="s">
        <v>597</v>
      </c>
      <c r="J174" s="11" t="s">
        <v>32</v>
      </c>
      <c r="K174" s="59" t="s">
        <v>598</v>
      </c>
      <c r="L174" s="11" t="s">
        <v>32</v>
      </c>
      <c r="M174" s="11" t="s">
        <v>32</v>
      </c>
      <c r="N174" s="73" t="s">
        <v>32</v>
      </c>
      <c r="O174" s="71" t="s">
        <v>77</v>
      </c>
      <c r="P174" s="79" t="s">
        <v>42</v>
      </c>
      <c r="Q174" s="79" t="s">
        <v>42</v>
      </c>
      <c r="R174" s="79" t="s">
        <v>42</v>
      </c>
      <c r="S174" s="9" t="s">
        <v>668</v>
      </c>
    </row>
    <row r="175" spans="1:19" x14ac:dyDescent="0.25">
      <c r="A175" s="61" t="s">
        <v>669</v>
      </c>
      <c r="B175" s="87" t="s">
        <v>670</v>
      </c>
      <c r="C175" s="61" t="s">
        <v>671</v>
      </c>
      <c r="D175" s="61" t="s">
        <v>633</v>
      </c>
      <c r="E175" s="61" t="s">
        <v>634</v>
      </c>
      <c r="F175" s="59" t="s">
        <v>76</v>
      </c>
      <c r="G175" s="63" t="s">
        <v>618</v>
      </c>
      <c r="H175" s="54" t="s">
        <v>29</v>
      </c>
      <c r="I175" s="60" t="s">
        <v>597</v>
      </c>
      <c r="J175" s="11" t="s">
        <v>32</v>
      </c>
      <c r="K175" s="59" t="s">
        <v>598</v>
      </c>
      <c r="L175" s="11" t="s">
        <v>32</v>
      </c>
      <c r="M175" s="11" t="s">
        <v>32</v>
      </c>
      <c r="N175" s="73" t="s">
        <v>32</v>
      </c>
      <c r="O175" s="71" t="s">
        <v>77</v>
      </c>
      <c r="P175" s="79" t="s">
        <v>42</v>
      </c>
      <c r="Q175" s="79" t="s">
        <v>42</v>
      </c>
      <c r="R175" s="79" t="s">
        <v>42</v>
      </c>
      <c r="S175" s="9" t="s">
        <v>672</v>
      </c>
    </row>
    <row r="176" spans="1:19" x14ac:dyDescent="0.25">
      <c r="A176" s="61" t="s">
        <v>669</v>
      </c>
      <c r="B176" s="87" t="s">
        <v>670</v>
      </c>
      <c r="C176" s="86" t="s">
        <v>673</v>
      </c>
      <c r="D176" s="61" t="s">
        <v>633</v>
      </c>
      <c r="E176" s="86" t="s">
        <v>634</v>
      </c>
      <c r="F176" s="59" t="s">
        <v>27</v>
      </c>
      <c r="G176" s="54" t="s">
        <v>387</v>
      </c>
      <c r="H176" s="54" t="s">
        <v>29</v>
      </c>
      <c r="I176" s="60" t="s">
        <v>597</v>
      </c>
      <c r="J176" s="11" t="s">
        <v>32</v>
      </c>
      <c r="K176" s="59" t="s">
        <v>598</v>
      </c>
      <c r="L176" s="11" t="s">
        <v>32</v>
      </c>
      <c r="M176" s="11" t="s">
        <v>32</v>
      </c>
      <c r="N176" s="73" t="s">
        <v>32</v>
      </c>
      <c r="O176" s="71" t="s">
        <v>607</v>
      </c>
      <c r="P176" s="88" t="s">
        <v>59</v>
      </c>
      <c r="Q176" s="71" t="s">
        <v>43</v>
      </c>
      <c r="R176" s="71" t="s">
        <v>608</v>
      </c>
      <c r="S176" s="9" t="s">
        <v>674</v>
      </c>
    </row>
    <row r="177" spans="1:19" x14ac:dyDescent="0.25">
      <c r="A177" s="61" t="s">
        <v>669</v>
      </c>
      <c r="B177" s="87" t="s">
        <v>670</v>
      </c>
      <c r="C177" s="61" t="s">
        <v>675</v>
      </c>
      <c r="D177" s="61" t="s">
        <v>633</v>
      </c>
      <c r="E177" s="86" t="s">
        <v>634</v>
      </c>
      <c r="F177" s="61" t="s">
        <v>606</v>
      </c>
      <c r="G177" s="54" t="s">
        <v>387</v>
      </c>
      <c r="H177" s="54" t="s">
        <v>29</v>
      </c>
      <c r="I177" s="60" t="s">
        <v>597</v>
      </c>
      <c r="J177" s="11" t="s">
        <v>32</v>
      </c>
      <c r="K177" s="59" t="s">
        <v>598</v>
      </c>
      <c r="L177" s="11" t="s">
        <v>32</v>
      </c>
      <c r="M177" s="11" t="s">
        <v>32</v>
      </c>
      <c r="N177" s="73" t="s">
        <v>32</v>
      </c>
      <c r="O177" s="71" t="s">
        <v>623</v>
      </c>
      <c r="P177" s="87" t="s">
        <v>34</v>
      </c>
      <c r="Q177" s="71" t="s">
        <v>43</v>
      </c>
      <c r="R177" s="71" t="s">
        <v>624</v>
      </c>
      <c r="S177" s="24" t="s">
        <v>676</v>
      </c>
    </row>
    <row r="178" spans="1:19" x14ac:dyDescent="0.25">
      <c r="A178" s="59" t="s">
        <v>677</v>
      </c>
      <c r="B178" s="87" t="s">
        <v>678</v>
      </c>
      <c r="C178" s="59" t="s">
        <v>679</v>
      </c>
      <c r="D178" s="61" t="s">
        <v>680</v>
      </c>
      <c r="E178" s="61" t="s">
        <v>681</v>
      </c>
      <c r="F178" s="59" t="s">
        <v>27</v>
      </c>
      <c r="G178" s="54" t="s">
        <v>387</v>
      </c>
      <c r="H178" s="54" t="s">
        <v>56</v>
      </c>
      <c r="I178" s="55">
        <v>100</v>
      </c>
      <c r="J178" s="8" t="s">
        <v>682</v>
      </c>
      <c r="K178" s="59" t="s">
        <v>598</v>
      </c>
      <c r="L178" s="11" t="s">
        <v>32</v>
      </c>
      <c r="M178" s="11" t="s">
        <v>32</v>
      </c>
      <c r="N178" s="73" t="s">
        <v>32</v>
      </c>
      <c r="O178" s="71" t="s">
        <v>623</v>
      </c>
      <c r="P178" s="87" t="s">
        <v>34</v>
      </c>
      <c r="Q178" s="71" t="s">
        <v>43</v>
      </c>
      <c r="R178" s="71" t="s">
        <v>624</v>
      </c>
      <c r="S178" s="9" t="str">
        <f>HYPERLINK(CONCATENATE("https://www.analog.com/", A178, "/datasheet"))</f>
        <v>https://www.analog.com/ADH361S/datasheet</v>
      </c>
    </row>
    <row r="179" spans="1:19" x14ac:dyDescent="0.25">
      <c r="A179" s="59" t="s">
        <v>683</v>
      </c>
      <c r="B179" s="87" t="s">
        <v>684</v>
      </c>
      <c r="C179" s="59" t="s">
        <v>685</v>
      </c>
      <c r="D179" s="61" t="s">
        <v>680</v>
      </c>
      <c r="E179" s="61" t="s">
        <v>681</v>
      </c>
      <c r="F179" s="59" t="s">
        <v>27</v>
      </c>
      <c r="G179" s="54" t="s">
        <v>387</v>
      </c>
      <c r="H179" s="54" t="s">
        <v>56</v>
      </c>
      <c r="I179" s="55">
        <v>100</v>
      </c>
      <c r="J179" s="8" t="s">
        <v>686</v>
      </c>
      <c r="K179" s="11" t="s">
        <v>32</v>
      </c>
      <c r="L179" s="11" t="s">
        <v>32</v>
      </c>
      <c r="M179" s="11" t="s">
        <v>32</v>
      </c>
      <c r="N179" s="73" t="s">
        <v>32</v>
      </c>
      <c r="O179" s="71" t="s">
        <v>623</v>
      </c>
      <c r="P179" s="87" t="s">
        <v>34</v>
      </c>
      <c r="Q179" s="71" t="s">
        <v>43</v>
      </c>
      <c r="R179" s="71" t="s">
        <v>624</v>
      </c>
      <c r="S179" s="9" t="str">
        <f>HYPERLINK(CONCATENATE("https://www.analog.com/", A179, "/datasheet"))</f>
        <v>https://www.analog.com/ADH363S/datasheet</v>
      </c>
    </row>
    <row r="180" spans="1:19" x14ac:dyDescent="0.25">
      <c r="A180" s="59" t="s">
        <v>687</v>
      </c>
      <c r="B180" s="87" t="s">
        <v>688</v>
      </c>
      <c r="C180" s="59" t="s">
        <v>689</v>
      </c>
      <c r="D180" s="61" t="s">
        <v>680</v>
      </c>
      <c r="E180" s="86" t="s">
        <v>681</v>
      </c>
      <c r="F180" s="59" t="s">
        <v>27</v>
      </c>
      <c r="G180" s="54" t="s">
        <v>387</v>
      </c>
      <c r="H180" s="54" t="s">
        <v>56</v>
      </c>
      <c r="I180" s="55">
        <v>100</v>
      </c>
      <c r="J180" s="8" t="s">
        <v>690</v>
      </c>
      <c r="K180" s="11" t="s">
        <v>32</v>
      </c>
      <c r="L180" s="11" t="s">
        <v>32</v>
      </c>
      <c r="M180" s="11" t="s">
        <v>32</v>
      </c>
      <c r="N180" s="73" t="s">
        <v>32</v>
      </c>
      <c r="O180" s="71" t="s">
        <v>623</v>
      </c>
      <c r="P180" s="87" t="s">
        <v>34</v>
      </c>
      <c r="Q180" s="71" t="s">
        <v>43</v>
      </c>
      <c r="R180" s="71" t="s">
        <v>624</v>
      </c>
      <c r="S180" s="9" t="str">
        <f>HYPERLINK(CONCATENATE("https://www.analog.com/", A180, "/datasheet"))</f>
        <v>https://www.analog.com/ADH365S/datasheet</v>
      </c>
    </row>
    <row r="181" spans="1:19" x14ac:dyDescent="0.25">
      <c r="A181" s="61" t="s">
        <v>691</v>
      </c>
      <c r="B181" s="87" t="s">
        <v>692</v>
      </c>
      <c r="C181" s="61" t="s">
        <v>693</v>
      </c>
      <c r="D181" s="61" t="s">
        <v>328</v>
      </c>
      <c r="E181" s="86" t="s">
        <v>694</v>
      </c>
      <c r="F181" s="59" t="s">
        <v>76</v>
      </c>
      <c r="G181" s="63" t="s">
        <v>618</v>
      </c>
      <c r="H181" s="54" t="s">
        <v>29</v>
      </c>
      <c r="I181" s="60" t="s">
        <v>597</v>
      </c>
      <c r="J181" s="11" t="s">
        <v>32</v>
      </c>
      <c r="K181" s="59" t="s">
        <v>598</v>
      </c>
      <c r="L181" s="11" t="s">
        <v>32</v>
      </c>
      <c r="M181" s="11" t="s">
        <v>32</v>
      </c>
      <c r="N181" s="73" t="s">
        <v>32</v>
      </c>
      <c r="O181" s="71" t="s">
        <v>77</v>
      </c>
      <c r="P181" s="79" t="s">
        <v>42</v>
      </c>
      <c r="Q181" s="79" t="s">
        <v>42</v>
      </c>
      <c r="R181" s="79" t="s">
        <v>42</v>
      </c>
      <c r="S181" s="24" t="s">
        <v>695</v>
      </c>
    </row>
    <row r="182" spans="1:19" x14ac:dyDescent="0.25">
      <c r="A182" s="61" t="s">
        <v>696</v>
      </c>
      <c r="B182" s="87" t="s">
        <v>697</v>
      </c>
      <c r="C182" s="61" t="s">
        <v>698</v>
      </c>
      <c r="D182" s="61" t="s">
        <v>328</v>
      </c>
      <c r="E182" s="86" t="s">
        <v>699</v>
      </c>
      <c r="F182" s="59" t="s">
        <v>76</v>
      </c>
      <c r="G182" s="63" t="s">
        <v>618</v>
      </c>
      <c r="H182" s="54" t="s">
        <v>29</v>
      </c>
      <c r="I182" s="60" t="s">
        <v>597</v>
      </c>
      <c r="J182" s="11" t="s">
        <v>32</v>
      </c>
      <c r="K182" s="59" t="s">
        <v>598</v>
      </c>
      <c r="L182" s="11" t="s">
        <v>32</v>
      </c>
      <c r="M182" s="11" t="s">
        <v>32</v>
      </c>
      <c r="N182" s="73" t="s">
        <v>32</v>
      </c>
      <c r="O182" s="71" t="s">
        <v>77</v>
      </c>
      <c r="P182" s="79" t="s">
        <v>42</v>
      </c>
      <c r="Q182" s="79" t="s">
        <v>42</v>
      </c>
      <c r="R182" s="79" t="s">
        <v>42</v>
      </c>
      <c r="S182" s="24" t="s">
        <v>700</v>
      </c>
    </row>
    <row r="183" spans="1:19" x14ac:dyDescent="0.25">
      <c r="A183" s="61" t="s">
        <v>701</v>
      </c>
      <c r="B183" s="87" t="s">
        <v>702</v>
      </c>
      <c r="C183" s="61" t="s">
        <v>703</v>
      </c>
      <c r="D183" s="61" t="s">
        <v>328</v>
      </c>
      <c r="E183" s="61" t="s">
        <v>699</v>
      </c>
      <c r="F183" s="59" t="s">
        <v>76</v>
      </c>
      <c r="G183" s="63" t="s">
        <v>618</v>
      </c>
      <c r="H183" s="54" t="s">
        <v>29</v>
      </c>
      <c r="I183" s="60" t="s">
        <v>597</v>
      </c>
      <c r="J183" s="11" t="s">
        <v>32</v>
      </c>
      <c r="K183" s="59" t="s">
        <v>598</v>
      </c>
      <c r="L183" s="11" t="s">
        <v>32</v>
      </c>
      <c r="M183" s="11" t="s">
        <v>32</v>
      </c>
      <c r="N183" s="73" t="s">
        <v>32</v>
      </c>
      <c r="O183" s="71" t="s">
        <v>77</v>
      </c>
      <c r="P183" s="79" t="s">
        <v>42</v>
      </c>
      <c r="Q183" s="79" t="s">
        <v>42</v>
      </c>
      <c r="R183" s="79" t="s">
        <v>42</v>
      </c>
      <c r="S183" s="24" t="s">
        <v>704</v>
      </c>
    </row>
    <row r="184" spans="1:19" x14ac:dyDescent="0.25">
      <c r="A184" s="61" t="s">
        <v>705</v>
      </c>
      <c r="B184" s="87" t="s">
        <v>706</v>
      </c>
      <c r="C184" s="61" t="s">
        <v>707</v>
      </c>
      <c r="D184" s="61" t="s">
        <v>328</v>
      </c>
      <c r="E184" s="61" t="s">
        <v>655</v>
      </c>
      <c r="F184" s="59" t="s">
        <v>27</v>
      </c>
      <c r="G184" s="54" t="s">
        <v>387</v>
      </c>
      <c r="H184" s="54" t="s">
        <v>29</v>
      </c>
      <c r="I184" s="60" t="s">
        <v>597</v>
      </c>
      <c r="J184" s="11" t="s">
        <v>32</v>
      </c>
      <c r="K184" s="59" t="s">
        <v>598</v>
      </c>
      <c r="L184" s="11" t="s">
        <v>32</v>
      </c>
      <c r="M184" s="11" t="s">
        <v>32</v>
      </c>
      <c r="N184" s="73" t="s">
        <v>32</v>
      </c>
      <c r="O184" s="71" t="s">
        <v>623</v>
      </c>
      <c r="P184" s="87" t="s">
        <v>34</v>
      </c>
      <c r="Q184" s="71" t="s">
        <v>635</v>
      </c>
      <c r="R184" s="71" t="s">
        <v>624</v>
      </c>
      <c r="S184" s="9" t="str">
        <f>HYPERLINK(CONCATENATE("https://www.analog.com/", A184, "/datasheet"))</f>
        <v>https://www.analog.com/ADH395S/datasheet</v>
      </c>
    </row>
    <row r="185" spans="1:19" x14ac:dyDescent="0.25">
      <c r="A185" s="61" t="s">
        <v>705</v>
      </c>
      <c r="B185" s="87" t="s">
        <v>706</v>
      </c>
      <c r="C185" s="61" t="s">
        <v>708</v>
      </c>
      <c r="D185" s="61" t="s">
        <v>328</v>
      </c>
      <c r="E185" s="61" t="s">
        <v>655</v>
      </c>
      <c r="F185" s="59" t="s">
        <v>76</v>
      </c>
      <c r="G185" s="63" t="s">
        <v>618</v>
      </c>
      <c r="H185" s="54" t="s">
        <v>29</v>
      </c>
      <c r="I185" s="60" t="s">
        <v>597</v>
      </c>
      <c r="J185" s="11" t="s">
        <v>32</v>
      </c>
      <c r="K185" s="59" t="s">
        <v>598</v>
      </c>
      <c r="L185" s="11" t="s">
        <v>32</v>
      </c>
      <c r="M185" s="11" t="s">
        <v>32</v>
      </c>
      <c r="N185" s="73" t="s">
        <v>32</v>
      </c>
      <c r="O185" s="71" t="s">
        <v>77</v>
      </c>
      <c r="P185" s="79" t="s">
        <v>42</v>
      </c>
      <c r="Q185" s="79" t="s">
        <v>42</v>
      </c>
      <c r="R185" s="79" t="s">
        <v>42</v>
      </c>
      <c r="S185" s="9" t="s">
        <v>709</v>
      </c>
    </row>
    <row r="186" spans="1:19" x14ac:dyDescent="0.25">
      <c r="A186" s="61" t="s">
        <v>710</v>
      </c>
      <c r="B186" s="87" t="s">
        <v>711</v>
      </c>
      <c r="C186" s="61" t="s">
        <v>712</v>
      </c>
      <c r="D186" s="61" t="s">
        <v>633</v>
      </c>
      <c r="E186" s="61" t="s">
        <v>713</v>
      </c>
      <c r="F186" s="59" t="s">
        <v>27</v>
      </c>
      <c r="G186" s="54" t="s">
        <v>387</v>
      </c>
      <c r="H186" s="54" t="s">
        <v>29</v>
      </c>
      <c r="I186" s="60" t="s">
        <v>597</v>
      </c>
      <c r="J186" s="11" t="s">
        <v>32</v>
      </c>
      <c r="K186" s="59" t="s">
        <v>598</v>
      </c>
      <c r="L186" s="11" t="s">
        <v>32</v>
      </c>
      <c r="M186" s="11" t="s">
        <v>32</v>
      </c>
      <c r="N186" s="73" t="s">
        <v>32</v>
      </c>
      <c r="O186" s="71" t="s">
        <v>641</v>
      </c>
      <c r="P186" s="87" t="s">
        <v>34</v>
      </c>
      <c r="Q186" s="71" t="s">
        <v>43</v>
      </c>
      <c r="R186" s="71" t="s">
        <v>642</v>
      </c>
      <c r="S186" s="9" t="s">
        <v>714</v>
      </c>
    </row>
    <row r="187" spans="1:19" x14ac:dyDescent="0.25">
      <c r="A187" s="61" t="s">
        <v>710</v>
      </c>
      <c r="B187" s="87" t="s">
        <v>715</v>
      </c>
      <c r="C187" s="61" t="s">
        <v>716</v>
      </c>
      <c r="D187" s="61" t="s">
        <v>633</v>
      </c>
      <c r="E187" s="61" t="s">
        <v>713</v>
      </c>
      <c r="F187" s="59" t="s">
        <v>27</v>
      </c>
      <c r="G187" s="54" t="s">
        <v>387</v>
      </c>
      <c r="H187" s="54" t="s">
        <v>29</v>
      </c>
      <c r="I187" s="60" t="s">
        <v>597</v>
      </c>
      <c r="J187" s="11" t="s">
        <v>32</v>
      </c>
      <c r="K187" s="59" t="s">
        <v>598</v>
      </c>
      <c r="L187" s="11" t="s">
        <v>32</v>
      </c>
      <c r="M187" s="11" t="s">
        <v>32</v>
      </c>
      <c r="N187" s="73" t="s">
        <v>32</v>
      </c>
      <c r="O187" s="71" t="s">
        <v>607</v>
      </c>
      <c r="P187" s="88" t="s">
        <v>59</v>
      </c>
      <c r="Q187" s="71" t="s">
        <v>43</v>
      </c>
      <c r="R187" s="71" t="s">
        <v>608</v>
      </c>
      <c r="S187" s="9" t="s">
        <v>717</v>
      </c>
    </row>
    <row r="188" spans="1:19" x14ac:dyDescent="0.25">
      <c r="A188" s="61" t="s">
        <v>710</v>
      </c>
      <c r="B188" s="87" t="s">
        <v>718</v>
      </c>
      <c r="C188" s="61" t="s">
        <v>719</v>
      </c>
      <c r="D188" s="61" t="s">
        <v>633</v>
      </c>
      <c r="E188" s="61" t="s">
        <v>713</v>
      </c>
      <c r="F188" s="59" t="s">
        <v>76</v>
      </c>
      <c r="G188" s="54" t="s">
        <v>387</v>
      </c>
      <c r="H188" s="54" t="s">
        <v>29</v>
      </c>
      <c r="I188" s="60" t="s">
        <v>597</v>
      </c>
      <c r="J188" s="11" t="s">
        <v>32</v>
      </c>
      <c r="K188" s="59" t="s">
        <v>598</v>
      </c>
      <c r="L188" s="11" t="s">
        <v>32</v>
      </c>
      <c r="M188" s="11" t="s">
        <v>32</v>
      </c>
      <c r="N188" s="73" t="s">
        <v>32</v>
      </c>
      <c r="O188" s="71" t="s">
        <v>77</v>
      </c>
      <c r="P188" s="79" t="s">
        <v>42</v>
      </c>
      <c r="Q188" s="79" t="s">
        <v>42</v>
      </c>
      <c r="R188" s="79" t="s">
        <v>42</v>
      </c>
      <c r="S188" s="9" t="s">
        <v>720</v>
      </c>
    </row>
    <row r="189" spans="1:19" x14ac:dyDescent="0.25">
      <c r="A189" s="61" t="s">
        <v>721</v>
      </c>
      <c r="B189" s="87" t="s">
        <v>722</v>
      </c>
      <c r="C189" s="61" t="s">
        <v>723</v>
      </c>
      <c r="D189" s="61" t="s">
        <v>680</v>
      </c>
      <c r="E189" s="61" t="s">
        <v>681</v>
      </c>
      <c r="F189" s="61" t="s">
        <v>606</v>
      </c>
      <c r="G189" s="54" t="s">
        <v>387</v>
      </c>
      <c r="H189" s="54" t="s">
        <v>29</v>
      </c>
      <c r="I189" s="60" t="s">
        <v>597</v>
      </c>
      <c r="J189" s="11" t="s">
        <v>32</v>
      </c>
      <c r="K189" s="59" t="s">
        <v>598</v>
      </c>
      <c r="L189" s="11" t="s">
        <v>32</v>
      </c>
      <c r="M189" s="11" t="s">
        <v>32</v>
      </c>
      <c r="N189" s="73" t="s">
        <v>32</v>
      </c>
      <c r="O189" s="71" t="s">
        <v>623</v>
      </c>
      <c r="P189" s="87" t="s">
        <v>34</v>
      </c>
      <c r="Q189" s="71" t="s">
        <v>43</v>
      </c>
      <c r="R189" s="71" t="s">
        <v>624</v>
      </c>
      <c r="S189" s="24" t="s">
        <v>724</v>
      </c>
    </row>
    <row r="190" spans="1:19" x14ac:dyDescent="0.25">
      <c r="A190" s="61" t="s">
        <v>725</v>
      </c>
      <c r="B190" s="87" t="s">
        <v>726</v>
      </c>
      <c r="C190" s="61" t="s">
        <v>727</v>
      </c>
      <c r="D190" s="61" t="s">
        <v>680</v>
      </c>
      <c r="E190" s="61" t="s">
        <v>728</v>
      </c>
      <c r="F190" s="61" t="s">
        <v>606</v>
      </c>
      <c r="G190" s="54" t="s">
        <v>387</v>
      </c>
      <c r="H190" s="54" t="s">
        <v>29</v>
      </c>
      <c r="I190" s="60" t="s">
        <v>597</v>
      </c>
      <c r="J190" s="11" t="s">
        <v>32</v>
      </c>
      <c r="K190" s="59" t="s">
        <v>598</v>
      </c>
      <c r="L190" s="11" t="s">
        <v>32</v>
      </c>
      <c r="M190" s="11" t="s">
        <v>32</v>
      </c>
      <c r="N190" s="73" t="s">
        <v>32</v>
      </c>
      <c r="O190" s="71" t="s">
        <v>641</v>
      </c>
      <c r="P190" s="87" t="s">
        <v>34</v>
      </c>
      <c r="Q190" s="71" t="s">
        <v>43</v>
      </c>
      <c r="R190" s="71" t="s">
        <v>642</v>
      </c>
      <c r="S190" s="24" t="s">
        <v>729</v>
      </c>
    </row>
    <row r="191" spans="1:19" x14ac:dyDescent="0.25">
      <c r="A191" s="61" t="s">
        <v>730</v>
      </c>
      <c r="B191" s="87" t="s">
        <v>731</v>
      </c>
      <c r="C191" s="61" t="s">
        <v>732</v>
      </c>
      <c r="D191" s="61" t="s">
        <v>680</v>
      </c>
      <c r="E191" s="61" t="s">
        <v>733</v>
      </c>
      <c r="F191" s="59" t="s">
        <v>76</v>
      </c>
      <c r="G191" s="63" t="s">
        <v>618</v>
      </c>
      <c r="H191" s="54" t="s">
        <v>29</v>
      </c>
      <c r="I191" s="60" t="s">
        <v>597</v>
      </c>
      <c r="J191" s="11" t="s">
        <v>32</v>
      </c>
      <c r="K191" s="59" t="s">
        <v>598</v>
      </c>
      <c r="L191" s="11" t="s">
        <v>32</v>
      </c>
      <c r="M191" s="11" t="s">
        <v>32</v>
      </c>
      <c r="N191" s="73" t="s">
        <v>32</v>
      </c>
      <c r="O191" s="71" t="s">
        <v>77</v>
      </c>
      <c r="P191" s="79" t="s">
        <v>42</v>
      </c>
      <c r="Q191" s="79" t="s">
        <v>42</v>
      </c>
      <c r="R191" s="79" t="s">
        <v>42</v>
      </c>
      <c r="S191" s="24" t="s">
        <v>734</v>
      </c>
    </row>
    <row r="192" spans="1:19" x14ac:dyDescent="0.25">
      <c r="A192" s="61" t="s">
        <v>735</v>
      </c>
      <c r="B192" s="87" t="s">
        <v>736</v>
      </c>
      <c r="C192" s="61" t="s">
        <v>737</v>
      </c>
      <c r="D192" s="61" t="s">
        <v>328</v>
      </c>
      <c r="E192" s="61" t="s">
        <v>617</v>
      </c>
      <c r="F192" s="59" t="s">
        <v>27</v>
      </c>
      <c r="G192" s="54" t="s">
        <v>387</v>
      </c>
      <c r="H192" s="54" t="s">
        <v>29</v>
      </c>
      <c r="I192" s="60" t="s">
        <v>597</v>
      </c>
      <c r="J192" s="11" t="s">
        <v>32</v>
      </c>
      <c r="K192" s="59" t="s">
        <v>598</v>
      </c>
      <c r="L192" s="11" t="s">
        <v>32</v>
      </c>
      <c r="M192" s="11" t="s">
        <v>32</v>
      </c>
      <c r="N192" s="73" t="s">
        <v>32</v>
      </c>
      <c r="O192" s="71" t="s">
        <v>607</v>
      </c>
      <c r="P192" s="88" t="s">
        <v>59</v>
      </c>
      <c r="Q192" s="71" t="s">
        <v>43</v>
      </c>
      <c r="R192" s="71" t="s">
        <v>608</v>
      </c>
      <c r="S192" s="9" t="str">
        <f>HYPERLINK(CONCATENATE("https://www.analog.com/", A192, "/datasheet"))</f>
        <v>https://www.analog.com/ADH451S/datasheet</v>
      </c>
    </row>
    <row r="193" spans="1:19" x14ac:dyDescent="0.25">
      <c r="A193" s="61" t="s">
        <v>735</v>
      </c>
      <c r="B193" s="87" t="s">
        <v>736</v>
      </c>
      <c r="C193" s="61" t="s">
        <v>738</v>
      </c>
      <c r="D193" s="61" t="s">
        <v>328</v>
      </c>
      <c r="E193" s="61" t="s">
        <v>617</v>
      </c>
      <c r="F193" s="59" t="s">
        <v>76</v>
      </c>
      <c r="G193" s="63" t="s">
        <v>618</v>
      </c>
      <c r="H193" s="54" t="s">
        <v>29</v>
      </c>
      <c r="I193" s="60" t="s">
        <v>597</v>
      </c>
      <c r="J193" s="11" t="s">
        <v>32</v>
      </c>
      <c r="K193" s="59" t="s">
        <v>598</v>
      </c>
      <c r="L193" s="11" t="s">
        <v>32</v>
      </c>
      <c r="M193" s="11" t="s">
        <v>32</v>
      </c>
      <c r="N193" s="73" t="s">
        <v>32</v>
      </c>
      <c r="O193" s="71" t="s">
        <v>77</v>
      </c>
      <c r="P193" s="79" t="s">
        <v>42</v>
      </c>
      <c r="Q193" s="79" t="s">
        <v>42</v>
      </c>
      <c r="R193" s="79" t="s">
        <v>42</v>
      </c>
      <c r="S193" s="9" t="s">
        <v>739</v>
      </c>
    </row>
    <row r="194" spans="1:19" x14ac:dyDescent="0.25">
      <c r="A194" s="61" t="s">
        <v>740</v>
      </c>
      <c r="B194" s="87" t="s">
        <v>741</v>
      </c>
      <c r="C194" s="61" t="s">
        <v>742</v>
      </c>
      <c r="D194" s="61" t="s">
        <v>328</v>
      </c>
      <c r="E194" s="61" t="s">
        <v>699</v>
      </c>
      <c r="F194" s="59" t="s">
        <v>76</v>
      </c>
      <c r="G194" s="63" t="s">
        <v>618</v>
      </c>
      <c r="H194" s="54" t="s">
        <v>29</v>
      </c>
      <c r="I194" s="60" t="s">
        <v>597</v>
      </c>
      <c r="J194" s="11" t="s">
        <v>32</v>
      </c>
      <c r="K194" s="59" t="s">
        <v>598</v>
      </c>
      <c r="L194" s="11" t="s">
        <v>32</v>
      </c>
      <c r="M194" s="11" t="s">
        <v>32</v>
      </c>
      <c r="N194" s="73" t="s">
        <v>32</v>
      </c>
      <c r="O194" s="71" t="s">
        <v>77</v>
      </c>
      <c r="P194" s="79" t="s">
        <v>42</v>
      </c>
      <c r="Q194" s="79" t="s">
        <v>42</v>
      </c>
      <c r="R194" s="79" t="s">
        <v>42</v>
      </c>
      <c r="S194" s="24" t="s">
        <v>743</v>
      </c>
    </row>
    <row r="195" spans="1:19" x14ac:dyDescent="0.25">
      <c r="A195" s="61" t="s">
        <v>744</v>
      </c>
      <c r="B195" s="87" t="s">
        <v>745</v>
      </c>
      <c r="C195" s="61" t="s">
        <v>746</v>
      </c>
      <c r="D195" s="61" t="s">
        <v>328</v>
      </c>
      <c r="E195" s="61" t="s">
        <v>699</v>
      </c>
      <c r="F195" s="59" t="s">
        <v>76</v>
      </c>
      <c r="G195" s="63" t="s">
        <v>618</v>
      </c>
      <c r="H195" s="54" t="s">
        <v>29</v>
      </c>
      <c r="I195" s="60" t="s">
        <v>597</v>
      </c>
      <c r="J195" s="11" t="s">
        <v>32</v>
      </c>
      <c r="K195" s="59" t="s">
        <v>598</v>
      </c>
      <c r="L195" s="11" t="s">
        <v>32</v>
      </c>
      <c r="M195" s="11" t="s">
        <v>32</v>
      </c>
      <c r="N195" s="73" t="s">
        <v>32</v>
      </c>
      <c r="O195" s="71" t="s">
        <v>77</v>
      </c>
      <c r="P195" s="79" t="s">
        <v>42</v>
      </c>
      <c r="Q195" s="79" t="s">
        <v>42</v>
      </c>
      <c r="R195" s="79" t="s">
        <v>42</v>
      </c>
      <c r="S195" s="9" t="s">
        <v>747</v>
      </c>
    </row>
    <row r="196" spans="1:19" x14ac:dyDescent="0.25">
      <c r="A196" s="61" t="s">
        <v>744</v>
      </c>
      <c r="B196" s="87" t="s">
        <v>745</v>
      </c>
      <c r="C196" s="61" t="s">
        <v>748</v>
      </c>
      <c r="D196" s="61" t="s">
        <v>328</v>
      </c>
      <c r="E196" s="61" t="s">
        <v>699</v>
      </c>
      <c r="F196" s="59" t="s">
        <v>27</v>
      </c>
      <c r="G196" s="54" t="s">
        <v>387</v>
      </c>
      <c r="H196" s="54" t="s">
        <v>29</v>
      </c>
      <c r="I196" s="60" t="s">
        <v>597</v>
      </c>
      <c r="J196" s="11" t="s">
        <v>32</v>
      </c>
      <c r="K196" s="59" t="s">
        <v>598</v>
      </c>
      <c r="L196" s="11" t="s">
        <v>32</v>
      </c>
      <c r="M196" s="11" t="s">
        <v>32</v>
      </c>
      <c r="N196" s="73" t="s">
        <v>32</v>
      </c>
      <c r="O196" s="71" t="s">
        <v>607</v>
      </c>
      <c r="P196" s="88" t="s">
        <v>59</v>
      </c>
      <c r="Q196" s="71" t="s">
        <v>43</v>
      </c>
      <c r="R196" s="71" t="s">
        <v>749</v>
      </c>
      <c r="S196" s="9" t="s">
        <v>750</v>
      </c>
    </row>
    <row r="197" spans="1:19" x14ac:dyDescent="0.25">
      <c r="A197" s="61" t="s">
        <v>751</v>
      </c>
      <c r="B197" s="87" t="s">
        <v>752</v>
      </c>
      <c r="C197" s="61" t="s">
        <v>753</v>
      </c>
      <c r="D197" s="61" t="s">
        <v>328</v>
      </c>
      <c r="E197" s="61" t="s">
        <v>754</v>
      </c>
      <c r="F197" s="59" t="s">
        <v>76</v>
      </c>
      <c r="G197" s="63" t="s">
        <v>618</v>
      </c>
      <c r="H197" s="54" t="s">
        <v>29</v>
      </c>
      <c r="I197" s="60" t="s">
        <v>597</v>
      </c>
      <c r="J197" s="11" t="s">
        <v>32</v>
      </c>
      <c r="K197" s="59" t="s">
        <v>598</v>
      </c>
      <c r="L197" s="11" t="s">
        <v>32</v>
      </c>
      <c r="M197" s="11" t="s">
        <v>32</v>
      </c>
      <c r="N197" s="73" t="s">
        <v>32</v>
      </c>
      <c r="O197" s="71" t="s">
        <v>77</v>
      </c>
      <c r="P197" s="79" t="s">
        <v>42</v>
      </c>
      <c r="Q197" s="79" t="s">
        <v>42</v>
      </c>
      <c r="R197" s="79" t="s">
        <v>42</v>
      </c>
      <c r="S197" s="24" t="s">
        <v>755</v>
      </c>
    </row>
    <row r="198" spans="1:19" x14ac:dyDescent="0.25">
      <c r="A198" s="61" t="s">
        <v>756</v>
      </c>
      <c r="B198" s="87" t="s">
        <v>757</v>
      </c>
      <c r="C198" s="61" t="s">
        <v>758</v>
      </c>
      <c r="D198" s="61" t="s">
        <v>328</v>
      </c>
      <c r="E198" s="61" t="s">
        <v>617</v>
      </c>
      <c r="F198" s="59" t="s">
        <v>27</v>
      </c>
      <c r="G198" s="54" t="s">
        <v>387</v>
      </c>
      <c r="H198" s="54" t="s">
        <v>29</v>
      </c>
      <c r="I198" s="60" t="s">
        <v>597</v>
      </c>
      <c r="J198" s="11" t="s">
        <v>32</v>
      </c>
      <c r="K198" s="59" t="s">
        <v>598</v>
      </c>
      <c r="L198" s="11" t="s">
        <v>32</v>
      </c>
      <c r="M198" s="11" t="s">
        <v>32</v>
      </c>
      <c r="N198" s="73" t="s">
        <v>32</v>
      </c>
      <c r="O198" s="71" t="s">
        <v>759</v>
      </c>
      <c r="P198" s="88" t="s">
        <v>59</v>
      </c>
      <c r="Q198" s="71" t="s">
        <v>43</v>
      </c>
      <c r="R198" s="71" t="s">
        <v>760</v>
      </c>
      <c r="S198" s="9" t="str">
        <f>HYPERLINK(CONCATENATE("https://www.analog.com/", A198, "/datasheet"))</f>
        <v>https://www.analog.com/ADH499S/datasheet</v>
      </c>
    </row>
    <row r="199" spans="1:19" x14ac:dyDescent="0.25">
      <c r="A199" s="61" t="s">
        <v>761</v>
      </c>
      <c r="B199" s="87" t="s">
        <v>762</v>
      </c>
      <c r="C199" s="61" t="s">
        <v>763</v>
      </c>
      <c r="D199" s="61" t="s">
        <v>764</v>
      </c>
      <c r="E199" s="61" t="s">
        <v>765</v>
      </c>
      <c r="F199" s="61" t="s">
        <v>606</v>
      </c>
      <c r="G199" s="54" t="s">
        <v>387</v>
      </c>
      <c r="H199" s="54" t="s">
        <v>29</v>
      </c>
      <c r="I199" s="60" t="s">
        <v>597</v>
      </c>
      <c r="J199" s="11" t="s">
        <v>32</v>
      </c>
      <c r="K199" s="59" t="s">
        <v>598</v>
      </c>
      <c r="L199" s="11" t="s">
        <v>32</v>
      </c>
      <c r="M199" s="11" t="s">
        <v>32</v>
      </c>
      <c r="N199" s="73" t="s">
        <v>32</v>
      </c>
      <c r="O199" s="71" t="s">
        <v>607</v>
      </c>
      <c r="P199" s="87" t="s">
        <v>59</v>
      </c>
      <c r="Q199" s="71" t="s">
        <v>43</v>
      </c>
      <c r="R199" s="71" t="s">
        <v>749</v>
      </c>
      <c r="S199" s="24" t="s">
        <v>766</v>
      </c>
    </row>
    <row r="200" spans="1:19" x14ac:dyDescent="0.25">
      <c r="A200" s="61" t="s">
        <v>767</v>
      </c>
      <c r="B200" s="87" t="s">
        <v>768</v>
      </c>
      <c r="C200" s="61" t="s">
        <v>769</v>
      </c>
      <c r="D200" s="61" t="s">
        <v>328</v>
      </c>
      <c r="E200" s="61" t="s">
        <v>699</v>
      </c>
      <c r="F200" s="10" t="s">
        <v>41</v>
      </c>
      <c r="G200" s="54" t="s">
        <v>387</v>
      </c>
      <c r="H200" s="11" t="s">
        <v>42</v>
      </c>
      <c r="I200" s="11" t="s">
        <v>42</v>
      </c>
      <c r="J200" s="11" t="s">
        <v>42</v>
      </c>
      <c r="K200" s="11" t="s">
        <v>42</v>
      </c>
      <c r="L200" s="11" t="s">
        <v>42</v>
      </c>
      <c r="M200" s="11" t="s">
        <v>42</v>
      </c>
      <c r="N200" s="73" t="s">
        <v>42</v>
      </c>
      <c r="O200" s="71" t="s">
        <v>759</v>
      </c>
      <c r="P200" s="88" t="s">
        <v>59</v>
      </c>
      <c r="Q200" s="71" t="s">
        <v>43</v>
      </c>
      <c r="R200" s="71" t="s">
        <v>760</v>
      </c>
      <c r="S200" s="9" t="str">
        <f>HYPERLINK(CONCATENATE("https://www.analog.com/", A200, "/datasheet"))</f>
        <v>https://www.analog.com/ADH519S/datasheet</v>
      </c>
    </row>
    <row r="201" spans="1:19" x14ac:dyDescent="0.25">
      <c r="A201" s="61" t="s">
        <v>767</v>
      </c>
      <c r="B201" s="87" t="s">
        <v>768</v>
      </c>
      <c r="C201" s="61" t="s">
        <v>770</v>
      </c>
      <c r="D201" s="61" t="s">
        <v>328</v>
      </c>
      <c r="E201" s="61" t="s">
        <v>699</v>
      </c>
      <c r="F201" s="59" t="s">
        <v>27</v>
      </c>
      <c r="G201" s="54" t="s">
        <v>387</v>
      </c>
      <c r="H201" s="54" t="s">
        <v>56</v>
      </c>
      <c r="I201" s="57">
        <v>100</v>
      </c>
      <c r="J201" s="14" t="s">
        <v>771</v>
      </c>
      <c r="K201" s="11" t="s">
        <v>32</v>
      </c>
      <c r="L201" s="11" t="s">
        <v>32</v>
      </c>
      <c r="M201" s="11" t="s">
        <v>32</v>
      </c>
      <c r="N201" s="73" t="s">
        <v>32</v>
      </c>
      <c r="O201" s="71" t="s">
        <v>759</v>
      </c>
      <c r="P201" s="88" t="s">
        <v>59</v>
      </c>
      <c r="Q201" s="71" t="s">
        <v>43</v>
      </c>
      <c r="R201" s="71" t="s">
        <v>760</v>
      </c>
      <c r="S201" s="9" t="str">
        <f>HYPERLINK(CONCATENATE("https://www.analog.com/", A201, "/datasheet"))</f>
        <v>https://www.analog.com/ADH519S/datasheet</v>
      </c>
    </row>
    <row r="202" spans="1:19" x14ac:dyDescent="0.25">
      <c r="A202" s="61" t="s">
        <v>772</v>
      </c>
      <c r="B202" s="87" t="s">
        <v>773</v>
      </c>
      <c r="C202" s="61" t="s">
        <v>774</v>
      </c>
      <c r="D202" s="61" t="s">
        <v>595</v>
      </c>
      <c r="E202" s="61" t="s">
        <v>775</v>
      </c>
      <c r="F202" s="61" t="s">
        <v>606</v>
      </c>
      <c r="G202" s="54" t="s">
        <v>387</v>
      </c>
      <c r="H202" s="54" t="s">
        <v>29</v>
      </c>
      <c r="I202" s="61" t="s">
        <v>597</v>
      </c>
      <c r="J202" s="11" t="s">
        <v>32</v>
      </c>
      <c r="K202" s="59" t="s">
        <v>598</v>
      </c>
      <c r="L202" s="11" t="s">
        <v>32</v>
      </c>
      <c r="M202" s="11" t="s">
        <v>32</v>
      </c>
      <c r="N202" s="73" t="s">
        <v>32</v>
      </c>
      <c r="O202" s="71" t="s">
        <v>607</v>
      </c>
      <c r="P202" s="87" t="s">
        <v>59</v>
      </c>
      <c r="Q202" s="71" t="s">
        <v>43</v>
      </c>
      <c r="R202" s="71" t="s">
        <v>608</v>
      </c>
      <c r="S202" s="24" t="s">
        <v>776</v>
      </c>
    </row>
    <row r="203" spans="1:19" x14ac:dyDescent="0.25">
      <c r="A203" s="61" t="s">
        <v>777</v>
      </c>
      <c r="B203" s="87" t="s">
        <v>778</v>
      </c>
      <c r="C203" s="61" t="s">
        <v>779</v>
      </c>
      <c r="D203" s="61" t="s">
        <v>764</v>
      </c>
      <c r="E203" s="61" t="s">
        <v>765</v>
      </c>
      <c r="F203" s="59" t="s">
        <v>76</v>
      </c>
      <c r="G203" s="54" t="s">
        <v>387</v>
      </c>
      <c r="H203" s="54" t="s">
        <v>29</v>
      </c>
      <c r="I203" s="61" t="s">
        <v>597</v>
      </c>
      <c r="J203" s="11" t="s">
        <v>32</v>
      </c>
      <c r="K203" s="59" t="s">
        <v>598</v>
      </c>
      <c r="L203" s="11" t="s">
        <v>32</v>
      </c>
      <c r="M203" s="11" t="s">
        <v>32</v>
      </c>
      <c r="N203" s="73" t="s">
        <v>32</v>
      </c>
      <c r="O203" s="71" t="s">
        <v>77</v>
      </c>
      <c r="P203" s="79" t="s">
        <v>42</v>
      </c>
      <c r="Q203" s="79" t="s">
        <v>42</v>
      </c>
      <c r="R203" s="79" t="s">
        <v>42</v>
      </c>
      <c r="S203" s="24" t="s">
        <v>780</v>
      </c>
    </row>
    <row r="204" spans="1:19" x14ac:dyDescent="0.25">
      <c r="A204" s="61" t="s">
        <v>781</v>
      </c>
      <c r="B204" s="87" t="s">
        <v>782</v>
      </c>
      <c r="C204" s="61" t="s">
        <v>783</v>
      </c>
      <c r="D204" s="61" t="s">
        <v>764</v>
      </c>
      <c r="E204" s="61" t="s">
        <v>765</v>
      </c>
      <c r="F204" s="59" t="s">
        <v>76</v>
      </c>
      <c r="G204" s="54" t="s">
        <v>387</v>
      </c>
      <c r="H204" s="54" t="s">
        <v>29</v>
      </c>
      <c r="I204" s="61" t="s">
        <v>597</v>
      </c>
      <c r="J204" s="11" t="s">
        <v>32</v>
      </c>
      <c r="K204" s="59" t="s">
        <v>598</v>
      </c>
      <c r="L204" s="11" t="s">
        <v>32</v>
      </c>
      <c r="M204" s="11" t="s">
        <v>32</v>
      </c>
      <c r="N204" s="73" t="s">
        <v>32</v>
      </c>
      <c r="O204" s="71" t="s">
        <v>77</v>
      </c>
      <c r="P204" s="79" t="s">
        <v>42</v>
      </c>
      <c r="Q204" s="79" t="s">
        <v>42</v>
      </c>
      <c r="R204" s="79" t="s">
        <v>42</v>
      </c>
      <c r="S204" s="24" t="s">
        <v>784</v>
      </c>
    </row>
    <row r="205" spans="1:19" x14ac:dyDescent="0.25">
      <c r="A205" s="61" t="s">
        <v>785</v>
      </c>
      <c r="B205" s="87" t="s">
        <v>786</v>
      </c>
      <c r="C205" s="61" t="s">
        <v>787</v>
      </c>
      <c r="D205" s="61" t="s">
        <v>595</v>
      </c>
      <c r="E205" s="61" t="s">
        <v>596</v>
      </c>
      <c r="F205" s="59" t="s">
        <v>27</v>
      </c>
      <c r="G205" s="54" t="s">
        <v>387</v>
      </c>
      <c r="H205" s="54" t="s">
        <v>29</v>
      </c>
      <c r="I205" s="61" t="s">
        <v>597</v>
      </c>
      <c r="J205" s="11" t="s">
        <v>32</v>
      </c>
      <c r="K205" s="11" t="s">
        <v>32</v>
      </c>
      <c r="L205" s="11" t="s">
        <v>32</v>
      </c>
      <c r="M205" s="11" t="s">
        <v>32</v>
      </c>
      <c r="N205" s="73" t="s">
        <v>32</v>
      </c>
      <c r="O205" s="71" t="s">
        <v>607</v>
      </c>
      <c r="P205" s="88" t="s">
        <v>59</v>
      </c>
      <c r="Q205" s="71" t="s">
        <v>43</v>
      </c>
      <c r="R205" s="71" t="s">
        <v>608</v>
      </c>
      <c r="S205" s="9" t="str">
        <f>HYPERLINK(CONCATENATE("https://www.analog.com/", A205, "/datasheet"))</f>
        <v>https://www.analog.com/ADH554S/datasheet</v>
      </c>
    </row>
    <row r="206" spans="1:19" x14ac:dyDescent="0.25">
      <c r="A206" s="61" t="s">
        <v>788</v>
      </c>
      <c r="B206" s="87" t="s">
        <v>789</v>
      </c>
      <c r="C206" s="61" t="s">
        <v>790</v>
      </c>
      <c r="D206" s="61" t="s">
        <v>595</v>
      </c>
      <c r="E206" s="61" t="s">
        <v>596</v>
      </c>
      <c r="F206" s="61" t="s">
        <v>606</v>
      </c>
      <c r="G206" s="54" t="s">
        <v>387</v>
      </c>
      <c r="H206" s="54" t="s">
        <v>29</v>
      </c>
      <c r="I206" s="60" t="s">
        <v>597</v>
      </c>
      <c r="J206" s="11" t="s">
        <v>32</v>
      </c>
      <c r="K206" s="59" t="s">
        <v>598</v>
      </c>
      <c r="L206" s="11" t="s">
        <v>32</v>
      </c>
      <c r="M206" s="11" t="s">
        <v>32</v>
      </c>
      <c r="N206" s="73" t="s">
        <v>32</v>
      </c>
      <c r="O206" s="71" t="s">
        <v>607</v>
      </c>
      <c r="P206" s="87" t="s">
        <v>59</v>
      </c>
      <c r="Q206" s="71" t="s">
        <v>43</v>
      </c>
      <c r="R206" s="71" t="s">
        <v>608</v>
      </c>
      <c r="S206" s="24" t="s">
        <v>791</v>
      </c>
    </row>
    <row r="207" spans="1:19" x14ac:dyDescent="0.25">
      <c r="A207" s="61" t="s">
        <v>792</v>
      </c>
      <c r="B207" s="87" t="s">
        <v>793</v>
      </c>
      <c r="C207" s="61" t="s">
        <v>794</v>
      </c>
      <c r="D207" s="61" t="s">
        <v>680</v>
      </c>
      <c r="E207" s="61" t="s">
        <v>733</v>
      </c>
      <c r="F207" s="59" t="s">
        <v>76</v>
      </c>
      <c r="G207" s="63" t="s">
        <v>618</v>
      </c>
      <c r="H207" s="54" t="s">
        <v>29</v>
      </c>
      <c r="I207" s="60" t="s">
        <v>597</v>
      </c>
      <c r="J207" s="11" t="s">
        <v>32</v>
      </c>
      <c r="K207" s="59" t="s">
        <v>598</v>
      </c>
      <c r="L207" s="11" t="s">
        <v>32</v>
      </c>
      <c r="M207" s="11" t="s">
        <v>32</v>
      </c>
      <c r="N207" s="73" t="s">
        <v>32</v>
      </c>
      <c r="O207" s="71" t="s">
        <v>77</v>
      </c>
      <c r="P207" s="79" t="s">
        <v>42</v>
      </c>
      <c r="Q207" s="79" t="s">
        <v>42</v>
      </c>
      <c r="R207" s="79" t="s">
        <v>42</v>
      </c>
      <c r="S207" s="9" t="str">
        <f>HYPERLINK(CONCATENATE("https://www.analog.com/", A207, "/datasheet"))</f>
        <v>https://www.analog.com/ADH561S/datasheet</v>
      </c>
    </row>
    <row r="208" spans="1:19" x14ac:dyDescent="0.25">
      <c r="A208" s="61" t="s">
        <v>795</v>
      </c>
      <c r="B208" s="87" t="s">
        <v>796</v>
      </c>
      <c r="C208" s="61" t="s">
        <v>797</v>
      </c>
      <c r="D208" s="61" t="s">
        <v>328</v>
      </c>
      <c r="E208" s="61" t="s">
        <v>699</v>
      </c>
      <c r="F208" s="59" t="s">
        <v>76</v>
      </c>
      <c r="G208" s="63" t="s">
        <v>618</v>
      </c>
      <c r="H208" s="54" t="s">
        <v>29</v>
      </c>
      <c r="I208" s="60" t="s">
        <v>597</v>
      </c>
      <c r="J208" s="11" t="s">
        <v>32</v>
      </c>
      <c r="K208" s="59" t="s">
        <v>598</v>
      </c>
      <c r="L208" s="11" t="s">
        <v>32</v>
      </c>
      <c r="M208" s="11" t="s">
        <v>32</v>
      </c>
      <c r="N208" s="73" t="s">
        <v>32</v>
      </c>
      <c r="O208" s="71" t="s">
        <v>77</v>
      </c>
      <c r="P208" s="79" t="s">
        <v>42</v>
      </c>
      <c r="Q208" s="79" t="s">
        <v>42</v>
      </c>
      <c r="R208" s="79" t="s">
        <v>42</v>
      </c>
      <c r="S208" s="24" t="s">
        <v>798</v>
      </c>
    </row>
    <row r="209" spans="1:19" x14ac:dyDescent="0.25">
      <c r="A209" s="61" t="s">
        <v>799</v>
      </c>
      <c r="B209" s="87" t="s">
        <v>800</v>
      </c>
      <c r="C209" s="61" t="s">
        <v>801</v>
      </c>
      <c r="D209" s="61" t="s">
        <v>680</v>
      </c>
      <c r="E209" s="61" t="s">
        <v>733</v>
      </c>
      <c r="F209" s="61" t="s">
        <v>606</v>
      </c>
      <c r="G209" s="54" t="s">
        <v>387</v>
      </c>
      <c r="H209" s="54" t="s">
        <v>29</v>
      </c>
      <c r="I209" s="60" t="s">
        <v>597</v>
      </c>
      <c r="J209" s="11" t="s">
        <v>32</v>
      </c>
      <c r="K209" s="59" t="s">
        <v>598</v>
      </c>
      <c r="L209" s="11" t="s">
        <v>32</v>
      </c>
      <c r="M209" s="11" t="s">
        <v>32</v>
      </c>
      <c r="N209" s="73" t="s">
        <v>32</v>
      </c>
      <c r="O209" s="71" t="s">
        <v>607</v>
      </c>
      <c r="P209" s="87" t="s">
        <v>59</v>
      </c>
      <c r="Q209" s="71" t="s">
        <v>43</v>
      </c>
      <c r="R209" s="71" t="s">
        <v>608</v>
      </c>
      <c r="S209" s="24" t="s">
        <v>802</v>
      </c>
    </row>
    <row r="210" spans="1:19" x14ac:dyDescent="0.25">
      <c r="A210" s="61" t="s">
        <v>803</v>
      </c>
      <c r="B210" s="87" t="s">
        <v>804</v>
      </c>
      <c r="C210" s="61" t="s">
        <v>805</v>
      </c>
      <c r="D210" s="61" t="s">
        <v>680</v>
      </c>
      <c r="E210" s="61" t="s">
        <v>733</v>
      </c>
      <c r="F210" s="59" t="s">
        <v>76</v>
      </c>
      <c r="G210" s="63" t="s">
        <v>618</v>
      </c>
      <c r="H210" s="54" t="s">
        <v>29</v>
      </c>
      <c r="I210" s="60" t="s">
        <v>597</v>
      </c>
      <c r="J210" s="11" t="s">
        <v>32</v>
      </c>
      <c r="K210" s="59" t="s">
        <v>598</v>
      </c>
      <c r="L210" s="11" t="s">
        <v>32</v>
      </c>
      <c r="M210" s="11" t="s">
        <v>32</v>
      </c>
      <c r="N210" s="73" t="s">
        <v>32</v>
      </c>
      <c r="O210" s="71" t="s">
        <v>77</v>
      </c>
      <c r="P210" s="79" t="s">
        <v>42</v>
      </c>
      <c r="Q210" s="79" t="s">
        <v>42</v>
      </c>
      <c r="R210" s="79" t="s">
        <v>42</v>
      </c>
      <c r="S210" s="9" t="s">
        <v>806</v>
      </c>
    </row>
    <row r="211" spans="1:19" x14ac:dyDescent="0.25">
      <c r="A211" s="61" t="s">
        <v>807</v>
      </c>
      <c r="B211" s="87" t="s">
        <v>808</v>
      </c>
      <c r="C211" s="61" t="s">
        <v>809</v>
      </c>
      <c r="D211" s="61" t="s">
        <v>764</v>
      </c>
      <c r="E211" s="61" t="s">
        <v>810</v>
      </c>
      <c r="F211" s="61" t="s">
        <v>811</v>
      </c>
      <c r="G211" s="54" t="s">
        <v>387</v>
      </c>
      <c r="H211" s="54" t="s">
        <v>29</v>
      </c>
      <c r="I211" s="11" t="s">
        <v>32</v>
      </c>
      <c r="J211" s="11" t="s">
        <v>32</v>
      </c>
      <c r="K211" s="11" t="s">
        <v>32</v>
      </c>
      <c r="L211" s="11" t="s">
        <v>32</v>
      </c>
      <c r="M211" s="11" t="s">
        <v>32</v>
      </c>
      <c r="N211" s="73" t="s">
        <v>32</v>
      </c>
      <c r="O211" s="71" t="s">
        <v>607</v>
      </c>
      <c r="P211" s="88" t="s">
        <v>59</v>
      </c>
      <c r="Q211" s="71" t="s">
        <v>43</v>
      </c>
      <c r="R211" s="71" t="s">
        <v>749</v>
      </c>
      <c r="S211" s="19" t="s">
        <v>812</v>
      </c>
    </row>
    <row r="212" spans="1:19" x14ac:dyDescent="0.25">
      <c r="A212" s="61" t="s">
        <v>813</v>
      </c>
      <c r="B212" s="87" t="s">
        <v>814</v>
      </c>
      <c r="C212" s="61" t="s">
        <v>815</v>
      </c>
      <c r="D212" s="61" t="s">
        <v>680</v>
      </c>
      <c r="E212" s="61" t="s">
        <v>733</v>
      </c>
      <c r="F212" s="59" t="s">
        <v>76</v>
      </c>
      <c r="G212" s="63" t="s">
        <v>618</v>
      </c>
      <c r="H212" s="54" t="s">
        <v>29</v>
      </c>
      <c r="I212" s="60" t="s">
        <v>597</v>
      </c>
      <c r="J212" s="11" t="s">
        <v>32</v>
      </c>
      <c r="K212" s="59" t="s">
        <v>598</v>
      </c>
      <c r="L212" s="11" t="s">
        <v>32</v>
      </c>
      <c r="M212" s="11" t="s">
        <v>32</v>
      </c>
      <c r="N212" s="73" t="s">
        <v>32</v>
      </c>
      <c r="O212" s="71" t="s">
        <v>77</v>
      </c>
      <c r="P212" s="79" t="s">
        <v>42</v>
      </c>
      <c r="Q212" s="79" t="s">
        <v>42</v>
      </c>
      <c r="R212" s="79" t="s">
        <v>42</v>
      </c>
      <c r="S212" s="24" t="s">
        <v>816</v>
      </c>
    </row>
    <row r="213" spans="1:19" x14ac:dyDescent="0.25">
      <c r="A213" s="61" t="s">
        <v>817</v>
      </c>
      <c r="B213" s="87" t="s">
        <v>818</v>
      </c>
      <c r="C213" s="61" t="s">
        <v>819</v>
      </c>
      <c r="D213" s="61" t="s">
        <v>328</v>
      </c>
      <c r="E213" s="61" t="s">
        <v>699</v>
      </c>
      <c r="F213" s="59" t="s">
        <v>76</v>
      </c>
      <c r="G213" s="63" t="s">
        <v>618</v>
      </c>
      <c r="H213" s="54" t="s">
        <v>29</v>
      </c>
      <c r="I213" s="60" t="s">
        <v>597</v>
      </c>
      <c r="J213" s="11" t="s">
        <v>32</v>
      </c>
      <c r="K213" s="59" t="s">
        <v>598</v>
      </c>
      <c r="L213" s="11" t="s">
        <v>32</v>
      </c>
      <c r="M213" s="11" t="s">
        <v>32</v>
      </c>
      <c r="N213" s="73" t="s">
        <v>32</v>
      </c>
      <c r="O213" s="71" t="s">
        <v>77</v>
      </c>
      <c r="P213" s="79" t="s">
        <v>42</v>
      </c>
      <c r="Q213" s="79" t="s">
        <v>42</v>
      </c>
      <c r="R213" s="79" t="s">
        <v>42</v>
      </c>
      <c r="S213" s="24" t="s">
        <v>820</v>
      </c>
    </row>
    <row r="214" spans="1:19" x14ac:dyDescent="0.25">
      <c r="A214" s="61" t="s">
        <v>821</v>
      </c>
      <c r="B214" s="87" t="s">
        <v>822</v>
      </c>
      <c r="C214" s="61" t="s">
        <v>823</v>
      </c>
      <c r="D214" s="61" t="s">
        <v>633</v>
      </c>
      <c r="E214" s="61" t="s">
        <v>634</v>
      </c>
      <c r="F214" s="61" t="s">
        <v>606</v>
      </c>
      <c r="G214" s="54" t="s">
        <v>387</v>
      </c>
      <c r="H214" s="54" t="s">
        <v>29</v>
      </c>
      <c r="I214" s="60" t="s">
        <v>597</v>
      </c>
      <c r="J214" s="11" t="s">
        <v>32</v>
      </c>
      <c r="K214" s="59" t="s">
        <v>598</v>
      </c>
      <c r="L214" s="11" t="s">
        <v>32</v>
      </c>
      <c r="M214" s="11" t="s">
        <v>32</v>
      </c>
      <c r="N214" s="73" t="s">
        <v>32</v>
      </c>
      <c r="O214" s="71" t="s">
        <v>824</v>
      </c>
      <c r="P214" s="80" t="s">
        <v>34</v>
      </c>
      <c r="Q214" s="71" t="s">
        <v>43</v>
      </c>
      <c r="R214" s="71" t="s">
        <v>825</v>
      </c>
      <c r="S214" s="24" t="s">
        <v>826</v>
      </c>
    </row>
    <row r="215" spans="1:19" x14ac:dyDescent="0.25">
      <c r="A215" s="61" t="s">
        <v>827</v>
      </c>
      <c r="B215" s="87" t="s">
        <v>828</v>
      </c>
      <c r="C215" s="61" t="s">
        <v>829</v>
      </c>
      <c r="D215" s="61" t="s">
        <v>328</v>
      </c>
      <c r="E215" s="61" t="s">
        <v>754</v>
      </c>
      <c r="F215" s="59" t="s">
        <v>76</v>
      </c>
      <c r="G215" s="63" t="s">
        <v>618</v>
      </c>
      <c r="H215" s="54" t="s">
        <v>29</v>
      </c>
      <c r="I215" s="60" t="s">
        <v>597</v>
      </c>
      <c r="J215" s="11" t="s">
        <v>32</v>
      </c>
      <c r="K215" s="59" t="s">
        <v>598</v>
      </c>
      <c r="L215" s="11" t="s">
        <v>32</v>
      </c>
      <c r="M215" s="11" t="s">
        <v>32</v>
      </c>
      <c r="N215" s="73" t="s">
        <v>32</v>
      </c>
      <c r="O215" s="71" t="s">
        <v>77</v>
      </c>
      <c r="P215" s="79" t="s">
        <v>42</v>
      </c>
      <c r="Q215" s="79" t="s">
        <v>42</v>
      </c>
      <c r="R215" s="79" t="s">
        <v>42</v>
      </c>
      <c r="S215" s="83" t="s">
        <v>830</v>
      </c>
    </row>
    <row r="216" spans="1:19" x14ac:dyDescent="0.25">
      <c r="A216" s="61" t="s">
        <v>831</v>
      </c>
      <c r="B216" s="87" t="s">
        <v>832</v>
      </c>
      <c r="C216" s="61" t="s">
        <v>833</v>
      </c>
      <c r="D216" s="61" t="s">
        <v>633</v>
      </c>
      <c r="E216" s="61" t="s">
        <v>634</v>
      </c>
      <c r="F216" s="61" t="s">
        <v>606</v>
      </c>
      <c r="G216" s="54" t="s">
        <v>387</v>
      </c>
      <c r="H216" s="54" t="s">
        <v>29</v>
      </c>
      <c r="I216" s="60" t="s">
        <v>597</v>
      </c>
      <c r="J216" s="11" t="s">
        <v>32</v>
      </c>
      <c r="K216" s="59" t="s">
        <v>598</v>
      </c>
      <c r="L216" s="11" t="s">
        <v>32</v>
      </c>
      <c r="M216" s="11" t="s">
        <v>32</v>
      </c>
      <c r="N216" s="73" t="s">
        <v>32</v>
      </c>
      <c r="O216" s="71" t="s">
        <v>607</v>
      </c>
      <c r="P216" s="87" t="s">
        <v>59</v>
      </c>
      <c r="Q216" s="71" t="s">
        <v>43</v>
      </c>
      <c r="R216" s="71" t="s">
        <v>608</v>
      </c>
      <c r="S216" s="9" t="s">
        <v>834</v>
      </c>
    </row>
    <row r="217" spans="1:19" x14ac:dyDescent="0.25">
      <c r="A217" s="61" t="s">
        <v>831</v>
      </c>
      <c r="B217" s="87" t="s">
        <v>832</v>
      </c>
      <c r="C217" s="61" t="s">
        <v>835</v>
      </c>
      <c r="D217" s="61" t="s">
        <v>633</v>
      </c>
      <c r="E217" s="61" t="s">
        <v>634</v>
      </c>
      <c r="F217" s="59" t="s">
        <v>76</v>
      </c>
      <c r="G217" s="63" t="s">
        <v>618</v>
      </c>
      <c r="H217" s="54" t="s">
        <v>29</v>
      </c>
      <c r="I217" s="60" t="s">
        <v>597</v>
      </c>
      <c r="J217" s="11" t="s">
        <v>32</v>
      </c>
      <c r="K217" s="59" t="s">
        <v>598</v>
      </c>
      <c r="L217" s="11" t="s">
        <v>32</v>
      </c>
      <c r="M217" s="11" t="s">
        <v>32</v>
      </c>
      <c r="N217" s="73" t="s">
        <v>32</v>
      </c>
      <c r="O217" s="71" t="s">
        <v>77</v>
      </c>
      <c r="P217" s="79" t="s">
        <v>42</v>
      </c>
      <c r="Q217" s="79" t="s">
        <v>42</v>
      </c>
      <c r="R217" s="79" t="s">
        <v>42</v>
      </c>
      <c r="S217" s="24" t="s">
        <v>836</v>
      </c>
    </row>
    <row r="218" spans="1:19" x14ac:dyDescent="0.25">
      <c r="A218" s="61" t="s">
        <v>837</v>
      </c>
      <c r="B218" s="87" t="s">
        <v>838</v>
      </c>
      <c r="C218" s="61" t="s">
        <v>839</v>
      </c>
      <c r="D218" s="61" t="s">
        <v>328</v>
      </c>
      <c r="E218" s="61" t="s">
        <v>617</v>
      </c>
      <c r="F218" s="59" t="s">
        <v>76</v>
      </c>
      <c r="G218" s="63" t="s">
        <v>618</v>
      </c>
      <c r="H218" s="54" t="s">
        <v>29</v>
      </c>
      <c r="I218" s="60" t="s">
        <v>597</v>
      </c>
      <c r="J218" s="11" t="s">
        <v>32</v>
      </c>
      <c r="K218" s="59" t="s">
        <v>598</v>
      </c>
      <c r="L218" s="11" t="s">
        <v>32</v>
      </c>
      <c r="M218" s="11" t="s">
        <v>32</v>
      </c>
      <c r="N218" s="73" t="s">
        <v>32</v>
      </c>
      <c r="O218" s="71" t="s">
        <v>77</v>
      </c>
      <c r="P218" s="79" t="s">
        <v>42</v>
      </c>
      <c r="Q218" s="79" t="s">
        <v>42</v>
      </c>
      <c r="R218" s="79" t="s">
        <v>42</v>
      </c>
      <c r="S218" s="24" t="s">
        <v>840</v>
      </c>
    </row>
    <row r="219" spans="1:19" x14ac:dyDescent="0.25">
      <c r="A219" s="61" t="s">
        <v>841</v>
      </c>
      <c r="B219" s="87" t="s">
        <v>842</v>
      </c>
      <c r="C219" s="61" t="s">
        <v>843</v>
      </c>
      <c r="D219" s="61" t="s">
        <v>595</v>
      </c>
      <c r="E219" s="86" t="s">
        <v>596</v>
      </c>
      <c r="F219" s="59" t="s">
        <v>76</v>
      </c>
      <c r="G219" s="54" t="s">
        <v>387</v>
      </c>
      <c r="H219" s="54" t="s">
        <v>29</v>
      </c>
      <c r="I219" s="60" t="s">
        <v>597</v>
      </c>
      <c r="J219" s="11" t="s">
        <v>32</v>
      </c>
      <c r="K219" s="59" t="s">
        <v>598</v>
      </c>
      <c r="L219" s="11" t="s">
        <v>32</v>
      </c>
      <c r="M219" s="11" t="s">
        <v>32</v>
      </c>
      <c r="N219" s="73" t="s">
        <v>32</v>
      </c>
      <c r="O219" s="71" t="s">
        <v>77</v>
      </c>
      <c r="P219" s="79" t="s">
        <v>42</v>
      </c>
      <c r="Q219" s="79" t="s">
        <v>42</v>
      </c>
      <c r="R219" s="79" t="s">
        <v>42</v>
      </c>
      <c r="S219" s="24" t="s">
        <v>844</v>
      </c>
    </row>
    <row r="220" spans="1:19" x14ac:dyDescent="0.25">
      <c r="A220" s="59" t="s">
        <v>845</v>
      </c>
      <c r="B220" s="87" t="s">
        <v>846</v>
      </c>
      <c r="C220" s="59" t="s">
        <v>847</v>
      </c>
      <c r="D220" s="61" t="s">
        <v>577</v>
      </c>
      <c r="E220" s="61" t="s">
        <v>848</v>
      </c>
      <c r="F220" s="61" t="s">
        <v>606</v>
      </c>
      <c r="G220" s="54" t="s">
        <v>387</v>
      </c>
      <c r="H220" s="54" t="s">
        <v>29</v>
      </c>
      <c r="I220" s="59" t="s">
        <v>849</v>
      </c>
      <c r="J220" s="11" t="s">
        <v>32</v>
      </c>
      <c r="K220" s="59" t="s">
        <v>850</v>
      </c>
      <c r="L220" s="11" t="s">
        <v>32</v>
      </c>
      <c r="M220" s="11" t="s">
        <v>32</v>
      </c>
      <c r="N220" s="73" t="s">
        <v>32</v>
      </c>
      <c r="O220" s="71" t="s">
        <v>851</v>
      </c>
      <c r="P220" s="87" t="s">
        <v>34</v>
      </c>
      <c r="Q220" s="71" t="s">
        <v>43</v>
      </c>
      <c r="R220" s="71" t="s">
        <v>661</v>
      </c>
      <c r="S220" s="24" t="s">
        <v>852</v>
      </c>
    </row>
    <row r="221" spans="1:19" x14ac:dyDescent="0.25">
      <c r="A221" s="61" t="s">
        <v>853</v>
      </c>
      <c r="B221" s="87" t="s">
        <v>854</v>
      </c>
      <c r="C221" s="61" t="s">
        <v>855</v>
      </c>
      <c r="D221" s="61" t="s">
        <v>764</v>
      </c>
      <c r="E221" s="86" t="s">
        <v>810</v>
      </c>
      <c r="F221" s="61" t="s">
        <v>856</v>
      </c>
      <c r="G221" s="54" t="s">
        <v>387</v>
      </c>
      <c r="H221" s="54" t="s">
        <v>29</v>
      </c>
      <c r="I221" s="11" t="s">
        <v>32</v>
      </c>
      <c r="J221" s="11" t="s">
        <v>32</v>
      </c>
      <c r="K221" s="11" t="s">
        <v>32</v>
      </c>
      <c r="L221" s="11" t="s">
        <v>32</v>
      </c>
      <c r="M221" s="11" t="s">
        <v>32</v>
      </c>
      <c r="N221" s="73" t="s">
        <v>32</v>
      </c>
      <c r="O221" s="71" t="s">
        <v>607</v>
      </c>
      <c r="P221" s="88" t="s">
        <v>59</v>
      </c>
      <c r="Q221" s="71" t="s">
        <v>43</v>
      </c>
      <c r="R221" s="71" t="s">
        <v>749</v>
      </c>
      <c r="S221" s="24" t="s">
        <v>857</v>
      </c>
    </row>
    <row r="222" spans="1:19" x14ac:dyDescent="0.25">
      <c r="A222" s="61" t="s">
        <v>858</v>
      </c>
      <c r="B222" s="87" t="s">
        <v>859</v>
      </c>
      <c r="C222" s="61" t="s">
        <v>860</v>
      </c>
      <c r="D222" s="61" t="s">
        <v>764</v>
      </c>
      <c r="E222" s="86" t="s">
        <v>765</v>
      </c>
      <c r="F222" s="61" t="s">
        <v>606</v>
      </c>
      <c r="G222" s="54" t="s">
        <v>387</v>
      </c>
      <c r="H222" s="54" t="s">
        <v>29</v>
      </c>
      <c r="I222" s="60" t="s">
        <v>597</v>
      </c>
      <c r="J222" s="11" t="s">
        <v>32</v>
      </c>
      <c r="K222" s="59" t="s">
        <v>598</v>
      </c>
      <c r="L222" s="11" t="s">
        <v>32</v>
      </c>
      <c r="M222" s="11" t="s">
        <v>32</v>
      </c>
      <c r="N222" s="73" t="s">
        <v>32</v>
      </c>
      <c r="O222" s="71" t="s">
        <v>759</v>
      </c>
      <c r="P222" s="87" t="s">
        <v>59</v>
      </c>
      <c r="Q222" s="71" t="s">
        <v>43</v>
      </c>
      <c r="R222" s="71" t="s">
        <v>760</v>
      </c>
      <c r="S222" s="24" t="s">
        <v>861</v>
      </c>
    </row>
    <row r="223" spans="1:19" x14ac:dyDescent="0.25">
      <c r="A223" s="61" t="s">
        <v>862</v>
      </c>
      <c r="B223" s="87" t="s">
        <v>863</v>
      </c>
      <c r="C223" s="61" t="s">
        <v>864</v>
      </c>
      <c r="D223" s="61" t="s">
        <v>865</v>
      </c>
      <c r="E223" s="61" t="s">
        <v>866</v>
      </c>
      <c r="F223" s="61" t="s">
        <v>867</v>
      </c>
      <c r="G223" s="54" t="s">
        <v>387</v>
      </c>
      <c r="H223" s="11" t="s">
        <v>42</v>
      </c>
      <c r="I223" s="11" t="s">
        <v>42</v>
      </c>
      <c r="J223" s="11" t="s">
        <v>42</v>
      </c>
      <c r="K223" s="11" t="s">
        <v>42</v>
      </c>
      <c r="L223" s="11" t="s">
        <v>42</v>
      </c>
      <c r="M223" s="11" t="s">
        <v>42</v>
      </c>
      <c r="N223" s="73" t="s">
        <v>42</v>
      </c>
      <c r="O223" s="71" t="s">
        <v>607</v>
      </c>
      <c r="P223" s="87" t="s">
        <v>59</v>
      </c>
      <c r="Q223" s="71" t="s">
        <v>43</v>
      </c>
      <c r="R223" s="71" t="s">
        <v>608</v>
      </c>
      <c r="S223" s="24" t="s">
        <v>868</v>
      </c>
    </row>
    <row r="224" spans="1:19" x14ac:dyDescent="0.25">
      <c r="A224" s="61" t="s">
        <v>869</v>
      </c>
      <c r="B224" s="87" t="s">
        <v>870</v>
      </c>
      <c r="C224" s="61" t="s">
        <v>871</v>
      </c>
      <c r="D224" s="61" t="s">
        <v>328</v>
      </c>
      <c r="E224" s="61" t="s">
        <v>699</v>
      </c>
      <c r="F224" s="61" t="s">
        <v>606</v>
      </c>
      <c r="G224" s="54" t="s">
        <v>387</v>
      </c>
      <c r="H224" s="54" t="s">
        <v>29</v>
      </c>
      <c r="I224" s="60" t="s">
        <v>597</v>
      </c>
      <c r="J224" s="11" t="s">
        <v>32</v>
      </c>
      <c r="K224" s="59" t="s">
        <v>598</v>
      </c>
      <c r="L224" s="11" t="s">
        <v>32</v>
      </c>
      <c r="M224" s="11" t="s">
        <v>32</v>
      </c>
      <c r="N224" s="73" t="s">
        <v>32</v>
      </c>
      <c r="O224" s="71" t="s">
        <v>607</v>
      </c>
      <c r="P224" s="87" t="s">
        <v>59</v>
      </c>
      <c r="Q224" s="71" t="s">
        <v>43</v>
      </c>
      <c r="R224" s="71" t="s">
        <v>749</v>
      </c>
      <c r="S224" s="9" t="s">
        <v>872</v>
      </c>
    </row>
    <row r="225" spans="1:19" x14ac:dyDescent="0.25">
      <c r="A225" s="61" t="s">
        <v>873</v>
      </c>
      <c r="B225" s="87" t="s">
        <v>874</v>
      </c>
      <c r="C225" s="61" t="s">
        <v>875</v>
      </c>
      <c r="D225" s="61" t="s">
        <v>595</v>
      </c>
      <c r="E225" s="61" t="s">
        <v>596</v>
      </c>
      <c r="F225" s="59" t="s">
        <v>76</v>
      </c>
      <c r="G225" s="54" t="s">
        <v>387</v>
      </c>
      <c r="H225" s="54" t="s">
        <v>29</v>
      </c>
      <c r="I225" s="60" t="s">
        <v>597</v>
      </c>
      <c r="J225" s="11" t="s">
        <v>32</v>
      </c>
      <c r="K225" s="59" t="s">
        <v>598</v>
      </c>
      <c r="L225" s="11" t="s">
        <v>32</v>
      </c>
      <c r="M225" s="11" t="s">
        <v>32</v>
      </c>
      <c r="N225" s="73" t="s">
        <v>32</v>
      </c>
      <c r="O225" s="71" t="s">
        <v>77</v>
      </c>
      <c r="P225" s="79" t="s">
        <v>42</v>
      </c>
      <c r="Q225" s="79" t="s">
        <v>42</v>
      </c>
      <c r="R225" s="79" t="s">
        <v>42</v>
      </c>
      <c r="S225" s="24" t="s">
        <v>876</v>
      </c>
    </row>
    <row r="226" spans="1:19" x14ac:dyDescent="0.25">
      <c r="A226" s="61" t="s">
        <v>877</v>
      </c>
      <c r="B226" s="87" t="s">
        <v>878</v>
      </c>
      <c r="C226" s="61" t="s">
        <v>879</v>
      </c>
      <c r="D226" s="61" t="s">
        <v>633</v>
      </c>
      <c r="E226" s="61" t="s">
        <v>666</v>
      </c>
      <c r="F226" s="61" t="s">
        <v>606</v>
      </c>
      <c r="G226" s="54" t="s">
        <v>387</v>
      </c>
      <c r="H226" s="54" t="s">
        <v>29</v>
      </c>
      <c r="I226" s="60" t="s">
        <v>597</v>
      </c>
      <c r="J226" s="11" t="s">
        <v>32</v>
      </c>
      <c r="K226" s="59" t="s">
        <v>598</v>
      </c>
      <c r="L226" s="11" t="s">
        <v>32</v>
      </c>
      <c r="M226" s="11" t="s">
        <v>32</v>
      </c>
      <c r="N226" s="73" t="s">
        <v>32</v>
      </c>
      <c r="O226" s="71" t="s">
        <v>607</v>
      </c>
      <c r="P226" s="87" t="s">
        <v>59</v>
      </c>
      <c r="Q226" s="71" t="s">
        <v>43</v>
      </c>
      <c r="R226" s="71" t="s">
        <v>749</v>
      </c>
      <c r="S226" s="24" t="s">
        <v>880</v>
      </c>
    </row>
    <row r="227" spans="1:19" x14ac:dyDescent="0.25">
      <c r="A227" s="61" t="s">
        <v>881</v>
      </c>
      <c r="B227" s="87" t="s">
        <v>882</v>
      </c>
      <c r="C227" s="61" t="s">
        <v>883</v>
      </c>
      <c r="D227" s="61" t="s">
        <v>680</v>
      </c>
      <c r="E227" s="61" t="s">
        <v>733</v>
      </c>
      <c r="F227" s="59" t="s">
        <v>76</v>
      </c>
      <c r="G227" s="63" t="s">
        <v>618</v>
      </c>
      <c r="H227" s="54" t="s">
        <v>29</v>
      </c>
      <c r="I227" s="60" t="s">
        <v>597</v>
      </c>
      <c r="J227" s="11" t="s">
        <v>32</v>
      </c>
      <c r="K227" s="59" t="s">
        <v>598</v>
      </c>
      <c r="L227" s="11" t="s">
        <v>32</v>
      </c>
      <c r="M227" s="11" t="s">
        <v>32</v>
      </c>
      <c r="N227" s="73" t="s">
        <v>32</v>
      </c>
      <c r="O227" s="71" t="s">
        <v>77</v>
      </c>
      <c r="P227" s="79" t="s">
        <v>42</v>
      </c>
      <c r="Q227" s="79" t="s">
        <v>42</v>
      </c>
      <c r="R227" s="79" t="s">
        <v>42</v>
      </c>
      <c r="S227" s="9" t="str">
        <f>HYPERLINK(CONCATENATE("https://www.analog.com/", A227, "/datasheet"))</f>
        <v>https://www.analog.com/ADH814S/datasheet</v>
      </c>
    </row>
    <row r="228" spans="1:19" x14ac:dyDescent="0.25">
      <c r="A228" s="61" t="s">
        <v>884</v>
      </c>
      <c r="B228" s="87" t="s">
        <v>885</v>
      </c>
      <c r="C228" s="61" t="s">
        <v>886</v>
      </c>
      <c r="D228" s="61" t="s">
        <v>595</v>
      </c>
      <c r="E228" s="61" t="s">
        <v>775</v>
      </c>
      <c r="F228" s="59" t="s">
        <v>76</v>
      </c>
      <c r="G228" s="54" t="s">
        <v>387</v>
      </c>
      <c r="H228" s="54" t="s">
        <v>29</v>
      </c>
      <c r="I228" s="60" t="s">
        <v>597</v>
      </c>
      <c r="J228" s="11" t="s">
        <v>32</v>
      </c>
      <c r="K228" s="59" t="s">
        <v>598</v>
      </c>
      <c r="L228" s="11" t="s">
        <v>32</v>
      </c>
      <c r="M228" s="11" t="s">
        <v>32</v>
      </c>
      <c r="N228" s="73" t="s">
        <v>32</v>
      </c>
      <c r="O228" s="71" t="s">
        <v>77</v>
      </c>
      <c r="P228" s="79" t="s">
        <v>42</v>
      </c>
      <c r="Q228" s="79" t="s">
        <v>42</v>
      </c>
      <c r="R228" s="79" t="s">
        <v>42</v>
      </c>
      <c r="S228" s="24" t="s">
        <v>887</v>
      </c>
    </row>
    <row r="229" spans="1:19" x14ac:dyDescent="0.25">
      <c r="A229" s="61" t="s">
        <v>884</v>
      </c>
      <c r="B229" s="87" t="s">
        <v>885</v>
      </c>
      <c r="C229" s="61" t="s">
        <v>888</v>
      </c>
      <c r="D229" s="61" t="s">
        <v>595</v>
      </c>
      <c r="E229" s="61" t="s">
        <v>775</v>
      </c>
      <c r="F229" s="61" t="s">
        <v>606</v>
      </c>
      <c r="G229" s="54" t="s">
        <v>387</v>
      </c>
      <c r="H229" s="54" t="s">
        <v>29</v>
      </c>
      <c r="I229" s="60" t="s">
        <v>597</v>
      </c>
      <c r="J229" s="11" t="s">
        <v>32</v>
      </c>
      <c r="K229" s="59" t="s">
        <v>598</v>
      </c>
      <c r="L229" s="11" t="s">
        <v>32</v>
      </c>
      <c r="M229" s="11" t="s">
        <v>32</v>
      </c>
      <c r="N229" s="73" t="s">
        <v>32</v>
      </c>
      <c r="O229" s="71" t="s">
        <v>607</v>
      </c>
      <c r="P229" s="87" t="s">
        <v>59</v>
      </c>
      <c r="Q229" s="71" t="s">
        <v>43</v>
      </c>
      <c r="R229" s="71" t="s">
        <v>608</v>
      </c>
      <c r="S229" s="9" t="s">
        <v>602</v>
      </c>
    </row>
    <row r="230" spans="1:19" x14ac:dyDescent="0.25">
      <c r="A230" s="43" t="s">
        <v>889</v>
      </c>
      <c r="B230" s="87" t="s">
        <v>890</v>
      </c>
      <c r="C230" s="43" t="s">
        <v>891</v>
      </c>
      <c r="D230" s="43" t="s">
        <v>577</v>
      </c>
      <c r="E230" s="43" t="s">
        <v>892</v>
      </c>
      <c r="F230" s="61" t="s">
        <v>606</v>
      </c>
      <c r="G230" s="44" t="s">
        <v>893</v>
      </c>
      <c r="H230" s="54" t="s">
        <v>29</v>
      </c>
      <c r="I230" s="11" t="s">
        <v>32</v>
      </c>
      <c r="J230" s="11" t="s">
        <v>32</v>
      </c>
      <c r="K230" s="11" t="s">
        <v>32</v>
      </c>
      <c r="L230" s="11" t="s">
        <v>32</v>
      </c>
      <c r="M230" s="11" t="s">
        <v>32</v>
      </c>
      <c r="N230" s="73" t="s">
        <v>32</v>
      </c>
      <c r="O230" s="71" t="s">
        <v>894</v>
      </c>
      <c r="P230" s="81" t="s">
        <v>895</v>
      </c>
      <c r="Q230" s="71" t="s">
        <v>43</v>
      </c>
      <c r="R230" s="71" t="s">
        <v>896</v>
      </c>
      <c r="S230" s="9" t="s">
        <v>897</v>
      </c>
    </row>
    <row r="231" spans="1:19" x14ac:dyDescent="0.25">
      <c r="A231" s="61" t="s">
        <v>898</v>
      </c>
      <c r="B231" s="87" t="s">
        <v>899</v>
      </c>
      <c r="C231" s="61" t="s">
        <v>900</v>
      </c>
      <c r="D231" s="61" t="s">
        <v>328</v>
      </c>
      <c r="E231" s="61" t="s">
        <v>699</v>
      </c>
      <c r="F231" s="59" t="s">
        <v>76</v>
      </c>
      <c r="G231" s="63" t="s">
        <v>618</v>
      </c>
      <c r="H231" s="54" t="s">
        <v>29</v>
      </c>
      <c r="I231" s="60" t="s">
        <v>597</v>
      </c>
      <c r="J231" s="11" t="s">
        <v>32</v>
      </c>
      <c r="K231" s="59" t="s">
        <v>598</v>
      </c>
      <c r="L231" s="11" t="s">
        <v>32</v>
      </c>
      <c r="M231" s="11" t="s">
        <v>32</v>
      </c>
      <c r="N231" s="73" t="s">
        <v>32</v>
      </c>
      <c r="O231" s="71" t="s">
        <v>77</v>
      </c>
      <c r="P231" s="79" t="s">
        <v>42</v>
      </c>
      <c r="Q231" s="79" t="s">
        <v>42</v>
      </c>
      <c r="R231" s="79" t="s">
        <v>42</v>
      </c>
      <c r="S231" s="24" t="s">
        <v>901</v>
      </c>
    </row>
    <row r="232" spans="1:19" x14ac:dyDescent="0.25">
      <c r="A232" s="61" t="s">
        <v>902</v>
      </c>
      <c r="B232" s="87" t="s">
        <v>903</v>
      </c>
      <c r="C232" s="61" t="s">
        <v>904</v>
      </c>
      <c r="D232" s="61" t="s">
        <v>328</v>
      </c>
      <c r="E232" s="61" t="s">
        <v>699</v>
      </c>
      <c r="F232" s="59" t="s">
        <v>76</v>
      </c>
      <c r="G232" s="63" t="s">
        <v>618</v>
      </c>
      <c r="H232" s="54" t="s">
        <v>29</v>
      </c>
      <c r="I232" s="60" t="s">
        <v>597</v>
      </c>
      <c r="J232" s="11" t="s">
        <v>32</v>
      </c>
      <c r="K232" s="59" t="s">
        <v>598</v>
      </c>
      <c r="L232" s="11" t="s">
        <v>32</v>
      </c>
      <c r="M232" s="11" t="s">
        <v>32</v>
      </c>
      <c r="N232" s="73" t="s">
        <v>32</v>
      </c>
      <c r="O232" s="71" t="s">
        <v>77</v>
      </c>
      <c r="P232" s="79" t="s">
        <v>42</v>
      </c>
      <c r="Q232" s="79" t="s">
        <v>42</v>
      </c>
      <c r="R232" s="79" t="s">
        <v>42</v>
      </c>
      <c r="S232" s="9" t="s">
        <v>905</v>
      </c>
    </row>
    <row r="233" spans="1:19" x14ac:dyDescent="0.25">
      <c r="A233" s="61" t="s">
        <v>902</v>
      </c>
      <c r="B233" s="87" t="s">
        <v>903</v>
      </c>
      <c r="C233" s="61" t="s">
        <v>906</v>
      </c>
      <c r="D233" s="61" t="s">
        <v>328</v>
      </c>
      <c r="E233" s="61" t="s">
        <v>699</v>
      </c>
      <c r="F233" s="59" t="s">
        <v>27</v>
      </c>
      <c r="G233" s="54" t="s">
        <v>387</v>
      </c>
      <c r="H233" s="54" t="s">
        <v>29</v>
      </c>
      <c r="I233" s="60" t="s">
        <v>597</v>
      </c>
      <c r="J233" s="11" t="s">
        <v>32</v>
      </c>
      <c r="K233" s="59" t="s">
        <v>598</v>
      </c>
      <c r="L233" s="11" t="s">
        <v>32</v>
      </c>
      <c r="M233" s="11" t="s">
        <v>32</v>
      </c>
      <c r="N233" s="73" t="s">
        <v>32</v>
      </c>
      <c r="O233" s="71" t="s">
        <v>607</v>
      </c>
      <c r="P233" s="88" t="s">
        <v>59</v>
      </c>
      <c r="Q233" s="71" t="s">
        <v>43</v>
      </c>
      <c r="R233" s="71" t="s">
        <v>608</v>
      </c>
      <c r="S233" s="9" t="s">
        <v>907</v>
      </c>
    </row>
    <row r="234" spans="1:19" x14ac:dyDescent="0.25">
      <c r="A234" s="92" t="s">
        <v>908</v>
      </c>
      <c r="B234" s="87" t="s">
        <v>909</v>
      </c>
      <c r="C234" s="92" t="s">
        <v>910</v>
      </c>
      <c r="D234" s="92" t="s">
        <v>328</v>
      </c>
      <c r="E234" s="92" t="s">
        <v>699</v>
      </c>
      <c r="F234" s="61" t="s">
        <v>386</v>
      </c>
      <c r="G234" s="93" t="s">
        <v>28</v>
      </c>
      <c r="H234" s="54" t="s">
        <v>56</v>
      </c>
      <c r="I234" s="62">
        <v>100</v>
      </c>
      <c r="J234" s="41" t="s">
        <v>911</v>
      </c>
      <c r="K234" s="57">
        <v>62.4</v>
      </c>
      <c r="L234" s="41" t="s">
        <v>912</v>
      </c>
      <c r="M234" s="11" t="s">
        <v>32</v>
      </c>
      <c r="N234" s="73" t="s">
        <v>32</v>
      </c>
      <c r="O234" s="71" t="s">
        <v>913</v>
      </c>
      <c r="P234" s="94" t="s">
        <v>424</v>
      </c>
      <c r="Q234" s="71" t="s">
        <v>425</v>
      </c>
      <c r="R234" s="71" t="s">
        <v>914</v>
      </c>
      <c r="S234" s="84" t="str">
        <f t="shared" ref="S234:S239" si="2">HYPERLINK(CONCATENATE("https://www.analog.com/", A234, "/datasheet"))</f>
        <v>https://www.analog.com/ADH8411S/datasheet</v>
      </c>
    </row>
    <row r="235" spans="1:19" x14ac:dyDescent="0.25">
      <c r="A235" s="59" t="s">
        <v>908</v>
      </c>
      <c r="B235" s="87" t="s">
        <v>909</v>
      </c>
      <c r="C235" s="59" t="s">
        <v>915</v>
      </c>
      <c r="D235" s="61" t="s">
        <v>328</v>
      </c>
      <c r="E235" s="61" t="s">
        <v>699</v>
      </c>
      <c r="F235" s="59" t="s">
        <v>421</v>
      </c>
      <c r="G235" s="54" t="s">
        <v>28</v>
      </c>
      <c r="H235" s="54" t="s">
        <v>56</v>
      </c>
      <c r="I235" s="57">
        <v>30</v>
      </c>
      <c r="J235" s="14" t="s">
        <v>916</v>
      </c>
      <c r="K235" s="57">
        <v>62.4</v>
      </c>
      <c r="L235" s="14" t="s">
        <v>912</v>
      </c>
      <c r="M235" s="11" t="s">
        <v>32</v>
      </c>
      <c r="N235" s="73" t="s">
        <v>32</v>
      </c>
      <c r="O235" s="71" t="s">
        <v>913</v>
      </c>
      <c r="P235" s="88" t="s">
        <v>424</v>
      </c>
      <c r="Q235" s="71" t="s">
        <v>425</v>
      </c>
      <c r="R235" s="71" t="s">
        <v>914</v>
      </c>
      <c r="S235" s="9" t="str">
        <f t="shared" si="2"/>
        <v>https://www.analog.com/ADH8411S/datasheet</v>
      </c>
    </row>
    <row r="236" spans="1:19" x14ac:dyDescent="0.25">
      <c r="A236" s="59" t="s">
        <v>917</v>
      </c>
      <c r="B236" s="87" t="s">
        <v>918</v>
      </c>
      <c r="C236" s="61" t="s">
        <v>919</v>
      </c>
      <c r="D236" s="61" t="s">
        <v>328</v>
      </c>
      <c r="E236" s="61" t="s">
        <v>699</v>
      </c>
      <c r="F236" s="61" t="s">
        <v>386</v>
      </c>
      <c r="G236" s="54" t="s">
        <v>28</v>
      </c>
      <c r="H236" s="54" t="s">
        <v>56</v>
      </c>
      <c r="I236" s="57">
        <v>100</v>
      </c>
      <c r="J236" s="14" t="s">
        <v>920</v>
      </c>
      <c r="K236" s="59" t="s">
        <v>598</v>
      </c>
      <c r="L236" s="11" t="s">
        <v>32</v>
      </c>
      <c r="M236" s="89">
        <v>2000000000000</v>
      </c>
      <c r="N236" s="76" t="s">
        <v>921</v>
      </c>
      <c r="O236" s="71" t="s">
        <v>913</v>
      </c>
      <c r="P236" s="88" t="s">
        <v>424</v>
      </c>
      <c r="Q236" s="71" t="s">
        <v>425</v>
      </c>
      <c r="R236" s="71" t="s">
        <v>914</v>
      </c>
      <c r="S236" s="9" t="str">
        <f t="shared" si="2"/>
        <v>https://www.analog.com/ADH8412S/datasheet</v>
      </c>
    </row>
    <row r="237" spans="1:19" x14ac:dyDescent="0.25">
      <c r="A237" s="59" t="s">
        <v>917</v>
      </c>
      <c r="B237" s="87" t="s">
        <v>918</v>
      </c>
      <c r="C237" s="59" t="s">
        <v>922</v>
      </c>
      <c r="D237" s="61" t="s">
        <v>328</v>
      </c>
      <c r="E237" s="61" t="s">
        <v>699</v>
      </c>
      <c r="F237" s="59" t="s">
        <v>421</v>
      </c>
      <c r="G237" s="54" t="s">
        <v>28</v>
      </c>
      <c r="H237" s="54" t="s">
        <v>56</v>
      </c>
      <c r="I237" s="57">
        <v>30</v>
      </c>
      <c r="J237" s="14" t="s">
        <v>923</v>
      </c>
      <c r="K237" s="59" t="s">
        <v>598</v>
      </c>
      <c r="L237" s="11" t="s">
        <v>32</v>
      </c>
      <c r="M237" s="89">
        <v>2000000000000</v>
      </c>
      <c r="N237" s="76" t="s">
        <v>921</v>
      </c>
      <c r="O237" s="71" t="s">
        <v>913</v>
      </c>
      <c r="P237" s="88" t="s">
        <v>424</v>
      </c>
      <c r="Q237" s="71" t="s">
        <v>425</v>
      </c>
      <c r="R237" s="71" t="s">
        <v>914</v>
      </c>
      <c r="S237" s="9" t="str">
        <f t="shared" si="2"/>
        <v>https://www.analog.com/ADH8412S/datasheet</v>
      </c>
    </row>
    <row r="238" spans="1:19" x14ac:dyDescent="0.25">
      <c r="A238" s="59" t="s">
        <v>917</v>
      </c>
      <c r="B238" s="87" t="s">
        <v>918</v>
      </c>
      <c r="C238" s="61" t="s">
        <v>924</v>
      </c>
      <c r="D238" s="61" t="s">
        <v>328</v>
      </c>
      <c r="E238" s="61" t="s">
        <v>699</v>
      </c>
      <c r="F238" s="86" t="s">
        <v>386</v>
      </c>
      <c r="G238" s="54" t="s">
        <v>28</v>
      </c>
      <c r="H238" s="54" t="s">
        <v>56</v>
      </c>
      <c r="I238" s="57">
        <v>100</v>
      </c>
      <c r="J238" s="14" t="s">
        <v>925</v>
      </c>
      <c r="K238" s="59" t="s">
        <v>598</v>
      </c>
      <c r="L238" s="11" t="s">
        <v>32</v>
      </c>
      <c r="M238" s="89">
        <v>2000000000000</v>
      </c>
      <c r="N238" s="76" t="s">
        <v>921</v>
      </c>
      <c r="O238" s="71" t="s">
        <v>913</v>
      </c>
      <c r="P238" s="88" t="s">
        <v>424</v>
      </c>
      <c r="Q238" s="71" t="s">
        <v>425</v>
      </c>
      <c r="R238" s="71" t="s">
        <v>914</v>
      </c>
      <c r="S238" s="9" t="str">
        <f t="shared" si="2"/>
        <v>https://www.analog.com/ADH8412S/datasheet</v>
      </c>
    </row>
    <row r="239" spans="1:19" x14ac:dyDescent="0.25">
      <c r="A239" s="59" t="s">
        <v>917</v>
      </c>
      <c r="B239" s="87" t="s">
        <v>918</v>
      </c>
      <c r="C239" s="59" t="s">
        <v>926</v>
      </c>
      <c r="D239" s="61" t="s">
        <v>328</v>
      </c>
      <c r="E239" s="61" t="s">
        <v>699</v>
      </c>
      <c r="F239" s="59" t="s">
        <v>421</v>
      </c>
      <c r="G239" s="54" t="s">
        <v>28</v>
      </c>
      <c r="H239" s="54" t="s">
        <v>56</v>
      </c>
      <c r="I239" s="57">
        <v>30</v>
      </c>
      <c r="J239" s="14" t="s">
        <v>923</v>
      </c>
      <c r="K239" s="59" t="s">
        <v>598</v>
      </c>
      <c r="L239" s="11" t="s">
        <v>32</v>
      </c>
      <c r="M239" s="89">
        <v>2000000000000</v>
      </c>
      <c r="N239" s="76" t="s">
        <v>921</v>
      </c>
      <c r="O239" s="71" t="s">
        <v>913</v>
      </c>
      <c r="P239" s="88" t="s">
        <v>424</v>
      </c>
      <c r="Q239" s="71" t="s">
        <v>425</v>
      </c>
      <c r="R239" s="71" t="s">
        <v>914</v>
      </c>
      <c r="S239" s="9" t="str">
        <f t="shared" si="2"/>
        <v>https://www.analog.com/ADH8412S/datasheet</v>
      </c>
    </row>
    <row r="240" spans="1:19" x14ac:dyDescent="0.25">
      <c r="A240" s="61" t="s">
        <v>927</v>
      </c>
      <c r="B240" s="87" t="s">
        <v>928</v>
      </c>
      <c r="C240" s="61" t="s">
        <v>929</v>
      </c>
      <c r="D240" s="61" t="s">
        <v>633</v>
      </c>
      <c r="E240" s="61" t="s">
        <v>634</v>
      </c>
      <c r="F240" s="61" t="s">
        <v>606</v>
      </c>
      <c r="G240" s="63" t="s">
        <v>930</v>
      </c>
      <c r="H240" s="54" t="s">
        <v>29</v>
      </c>
      <c r="I240" s="60" t="s">
        <v>597</v>
      </c>
      <c r="J240" s="11" t="s">
        <v>32</v>
      </c>
      <c r="K240" s="59" t="s">
        <v>598</v>
      </c>
      <c r="L240" s="11" t="s">
        <v>32</v>
      </c>
      <c r="M240" s="11" t="s">
        <v>32</v>
      </c>
      <c r="N240" s="73" t="s">
        <v>32</v>
      </c>
      <c r="O240" s="71" t="s">
        <v>607</v>
      </c>
      <c r="P240" s="87" t="s">
        <v>59</v>
      </c>
      <c r="Q240" s="71" t="s">
        <v>43</v>
      </c>
      <c r="R240" s="71" t="s">
        <v>608</v>
      </c>
      <c r="S240" s="24" t="s">
        <v>931</v>
      </c>
    </row>
    <row r="241" spans="1:19" x14ac:dyDescent="0.25">
      <c r="A241" s="61" t="s">
        <v>927</v>
      </c>
      <c r="B241" s="87" t="s">
        <v>928</v>
      </c>
      <c r="C241" s="61" t="s">
        <v>932</v>
      </c>
      <c r="D241" s="61" t="s">
        <v>633</v>
      </c>
      <c r="E241" s="61" t="s">
        <v>634</v>
      </c>
      <c r="F241" s="59" t="s">
        <v>76</v>
      </c>
      <c r="G241" s="54" t="s">
        <v>387</v>
      </c>
      <c r="H241" s="54" t="s">
        <v>29</v>
      </c>
      <c r="I241" s="60" t="s">
        <v>597</v>
      </c>
      <c r="J241" s="11" t="s">
        <v>32</v>
      </c>
      <c r="K241" s="59" t="s">
        <v>598</v>
      </c>
      <c r="L241" s="11" t="s">
        <v>32</v>
      </c>
      <c r="M241" s="11" t="s">
        <v>32</v>
      </c>
      <c r="N241" s="73" t="s">
        <v>32</v>
      </c>
      <c r="O241" s="71" t="s">
        <v>77</v>
      </c>
      <c r="P241" s="79" t="s">
        <v>42</v>
      </c>
      <c r="Q241" s="79" t="s">
        <v>42</v>
      </c>
      <c r="R241" s="79" t="s">
        <v>42</v>
      </c>
      <c r="S241" s="24" t="s">
        <v>933</v>
      </c>
    </row>
    <row r="242" spans="1:19" x14ac:dyDescent="0.25">
      <c r="A242" s="61" t="s">
        <v>934</v>
      </c>
      <c r="B242" s="87" t="s">
        <v>935</v>
      </c>
      <c r="C242" s="61" t="s">
        <v>936</v>
      </c>
      <c r="D242" s="61" t="s">
        <v>565</v>
      </c>
      <c r="E242" s="61" t="s">
        <v>937</v>
      </c>
      <c r="F242" s="61" t="s">
        <v>606</v>
      </c>
      <c r="G242" s="54" t="s">
        <v>387</v>
      </c>
      <c r="H242" s="54" t="s">
        <v>29</v>
      </c>
      <c r="I242" s="11" t="s">
        <v>32</v>
      </c>
      <c r="J242" s="11" t="s">
        <v>32</v>
      </c>
      <c r="K242" s="11" t="s">
        <v>32</v>
      </c>
      <c r="L242" s="11" t="s">
        <v>32</v>
      </c>
      <c r="M242" s="11" t="s">
        <v>32</v>
      </c>
      <c r="N242" s="73" t="s">
        <v>32</v>
      </c>
      <c r="O242" s="71" t="s">
        <v>938</v>
      </c>
      <c r="P242" s="87" t="s">
        <v>59</v>
      </c>
      <c r="Q242" s="71" t="s">
        <v>635</v>
      </c>
      <c r="R242" s="71" t="s">
        <v>939</v>
      </c>
      <c r="S242" s="24" t="s">
        <v>940</v>
      </c>
    </row>
    <row r="243" spans="1:19" x14ac:dyDescent="0.25">
      <c r="A243" s="61" t="s">
        <v>941</v>
      </c>
      <c r="B243" s="87" t="s">
        <v>942</v>
      </c>
      <c r="C243" s="61" t="s">
        <v>943</v>
      </c>
      <c r="D243" s="61" t="s">
        <v>328</v>
      </c>
      <c r="E243" s="61" t="s">
        <v>699</v>
      </c>
      <c r="F243" s="59" t="s">
        <v>76</v>
      </c>
      <c r="G243" s="63" t="s">
        <v>618</v>
      </c>
      <c r="H243" s="54" t="s">
        <v>29</v>
      </c>
      <c r="I243" s="60" t="s">
        <v>597</v>
      </c>
      <c r="J243" s="11" t="s">
        <v>32</v>
      </c>
      <c r="K243" s="59" t="s">
        <v>598</v>
      </c>
      <c r="L243" s="11" t="s">
        <v>32</v>
      </c>
      <c r="M243" s="11" t="s">
        <v>32</v>
      </c>
      <c r="N243" s="73" t="s">
        <v>32</v>
      </c>
      <c r="O243" s="71" t="s">
        <v>77</v>
      </c>
      <c r="P243" s="79" t="s">
        <v>42</v>
      </c>
      <c r="Q243" s="79" t="s">
        <v>42</v>
      </c>
      <c r="R243" s="79" t="s">
        <v>42</v>
      </c>
      <c r="S243" s="24" t="s">
        <v>944</v>
      </c>
    </row>
    <row r="244" spans="1:19" x14ac:dyDescent="0.25">
      <c r="A244" s="61" t="s">
        <v>945</v>
      </c>
      <c r="B244" s="87" t="s">
        <v>946</v>
      </c>
      <c r="C244" s="61" t="s">
        <v>947</v>
      </c>
      <c r="D244" s="61" t="s">
        <v>328</v>
      </c>
      <c r="E244" s="61" t="s">
        <v>699</v>
      </c>
      <c r="F244" s="59" t="s">
        <v>76</v>
      </c>
      <c r="G244" s="63" t="s">
        <v>618</v>
      </c>
      <c r="H244" s="54" t="s">
        <v>29</v>
      </c>
      <c r="I244" s="60" t="s">
        <v>597</v>
      </c>
      <c r="J244" s="11" t="s">
        <v>32</v>
      </c>
      <c r="K244" s="59" t="s">
        <v>598</v>
      </c>
      <c r="L244" s="11" t="s">
        <v>32</v>
      </c>
      <c r="M244" s="11" t="s">
        <v>32</v>
      </c>
      <c r="N244" s="73" t="s">
        <v>32</v>
      </c>
      <c r="O244" s="71" t="s">
        <v>77</v>
      </c>
      <c r="P244" s="79" t="s">
        <v>42</v>
      </c>
      <c r="Q244" s="79" t="s">
        <v>42</v>
      </c>
      <c r="R244" s="79" t="s">
        <v>42</v>
      </c>
      <c r="S244" s="24" t="s">
        <v>948</v>
      </c>
    </row>
    <row r="245" spans="1:19" x14ac:dyDescent="0.25">
      <c r="A245" s="61" t="s">
        <v>945</v>
      </c>
      <c r="B245" s="87" t="s">
        <v>946</v>
      </c>
      <c r="C245" s="61" t="s">
        <v>949</v>
      </c>
      <c r="D245" s="61" t="s">
        <v>328</v>
      </c>
      <c r="E245" s="86" t="s">
        <v>699</v>
      </c>
      <c r="F245" s="61" t="s">
        <v>867</v>
      </c>
      <c r="G245" s="54" t="s">
        <v>387</v>
      </c>
      <c r="H245" s="11" t="s">
        <v>42</v>
      </c>
      <c r="I245" s="11" t="s">
        <v>42</v>
      </c>
      <c r="J245" s="11" t="s">
        <v>42</v>
      </c>
      <c r="K245" s="11" t="s">
        <v>42</v>
      </c>
      <c r="L245" s="11" t="s">
        <v>42</v>
      </c>
      <c r="M245" s="11" t="s">
        <v>42</v>
      </c>
      <c r="N245" s="73" t="s">
        <v>42</v>
      </c>
      <c r="O245" s="71" t="s">
        <v>607</v>
      </c>
      <c r="P245" s="87" t="s">
        <v>59</v>
      </c>
      <c r="Q245" s="71" t="s">
        <v>43</v>
      </c>
      <c r="R245" s="71" t="s">
        <v>608</v>
      </c>
      <c r="S245" s="24" t="s">
        <v>950</v>
      </c>
    </row>
    <row r="246" spans="1:19" x14ac:dyDescent="0.25">
      <c r="A246" s="61" t="s">
        <v>951</v>
      </c>
      <c r="B246" s="87" t="s">
        <v>952</v>
      </c>
      <c r="C246" s="61" t="s">
        <v>953</v>
      </c>
      <c r="D246" s="61" t="s">
        <v>293</v>
      </c>
      <c r="E246" s="86" t="s">
        <v>954</v>
      </c>
      <c r="F246" s="61" t="s">
        <v>606</v>
      </c>
      <c r="G246" s="63" t="s">
        <v>618</v>
      </c>
      <c r="H246" s="54" t="s">
        <v>29</v>
      </c>
      <c r="I246" s="11" t="s">
        <v>32</v>
      </c>
      <c r="J246" s="11" t="s">
        <v>32</v>
      </c>
      <c r="K246" s="11" t="s">
        <v>32</v>
      </c>
      <c r="L246" s="11" t="s">
        <v>32</v>
      </c>
      <c r="M246" s="11" t="s">
        <v>32</v>
      </c>
      <c r="N246" s="73" t="s">
        <v>32</v>
      </c>
      <c r="O246" s="71" t="s">
        <v>607</v>
      </c>
      <c r="P246" s="87" t="s">
        <v>59</v>
      </c>
      <c r="Q246" s="71" t="s">
        <v>43</v>
      </c>
      <c r="R246" s="71" t="s">
        <v>608</v>
      </c>
      <c r="S246" s="24" t="s">
        <v>955</v>
      </c>
    </row>
    <row r="247" spans="1:19" x14ac:dyDescent="0.25">
      <c r="A247" s="61" t="s">
        <v>956</v>
      </c>
      <c r="B247" s="87" t="s">
        <v>957</v>
      </c>
      <c r="C247" s="61" t="s">
        <v>958</v>
      </c>
      <c r="D247" s="61" t="s">
        <v>633</v>
      </c>
      <c r="E247" s="61" t="s">
        <v>713</v>
      </c>
      <c r="F247" s="59" t="s">
        <v>76</v>
      </c>
      <c r="G247" s="54" t="s">
        <v>28</v>
      </c>
      <c r="H247" s="54" t="s">
        <v>29</v>
      </c>
      <c r="I247" s="60" t="s">
        <v>597</v>
      </c>
      <c r="J247" s="11" t="s">
        <v>32</v>
      </c>
      <c r="K247" s="59" t="s">
        <v>598</v>
      </c>
      <c r="L247" s="11" t="s">
        <v>32</v>
      </c>
      <c r="M247" s="11" t="s">
        <v>32</v>
      </c>
      <c r="N247" s="73" t="s">
        <v>32</v>
      </c>
      <c r="O247" s="71" t="s">
        <v>77</v>
      </c>
      <c r="P247" s="79" t="s">
        <v>42</v>
      </c>
      <c r="Q247" s="79" t="s">
        <v>42</v>
      </c>
      <c r="R247" s="79" t="s">
        <v>42</v>
      </c>
      <c r="S247" s="9" t="str">
        <f>HYPERLINK(CONCATENATE("https://www.analog.com/", A247, "/datasheet"))</f>
        <v>https://www.analog.com/ADH939S/datasheet</v>
      </c>
    </row>
    <row r="248" spans="1:19" x14ac:dyDescent="0.25">
      <c r="A248" s="61" t="s">
        <v>959</v>
      </c>
      <c r="B248" s="87" t="s">
        <v>960</v>
      </c>
      <c r="C248" s="61" t="s">
        <v>961</v>
      </c>
      <c r="D248" s="61" t="s">
        <v>633</v>
      </c>
      <c r="E248" s="61" t="s">
        <v>713</v>
      </c>
      <c r="F248" s="59" t="s">
        <v>76</v>
      </c>
      <c r="G248" s="54" t="s">
        <v>28</v>
      </c>
      <c r="H248" s="54" t="s">
        <v>29</v>
      </c>
      <c r="I248" s="60" t="s">
        <v>597</v>
      </c>
      <c r="J248" s="11" t="s">
        <v>32</v>
      </c>
      <c r="K248" s="59" t="s">
        <v>598</v>
      </c>
      <c r="L248" s="11" t="s">
        <v>32</v>
      </c>
      <c r="M248" s="11" t="s">
        <v>32</v>
      </c>
      <c r="N248" s="73" t="s">
        <v>32</v>
      </c>
      <c r="O248" s="71" t="s">
        <v>77</v>
      </c>
      <c r="P248" s="79" t="s">
        <v>42</v>
      </c>
      <c r="Q248" s="79" t="s">
        <v>42</v>
      </c>
      <c r="R248" s="79" t="s">
        <v>42</v>
      </c>
      <c r="S248" s="9" t="str">
        <f>HYPERLINK(CONCATENATE("https://www.analog.com/", A248, "/datasheet"))</f>
        <v>https://www.analog.com/ADH941S/datasheet</v>
      </c>
    </row>
    <row r="249" spans="1:19" x14ac:dyDescent="0.25">
      <c r="A249" s="61" t="s">
        <v>962</v>
      </c>
      <c r="B249" s="87" t="s">
        <v>963</v>
      </c>
      <c r="C249" s="61" t="s">
        <v>964</v>
      </c>
      <c r="D249" s="61" t="s">
        <v>328</v>
      </c>
      <c r="E249" s="61" t="s">
        <v>617</v>
      </c>
      <c r="F249" s="61" t="s">
        <v>606</v>
      </c>
      <c r="G249" s="54" t="s">
        <v>387</v>
      </c>
      <c r="H249" s="54" t="s">
        <v>29</v>
      </c>
      <c r="I249" s="60" t="s">
        <v>597</v>
      </c>
      <c r="J249" s="11" t="s">
        <v>32</v>
      </c>
      <c r="K249" s="59" t="s">
        <v>598</v>
      </c>
      <c r="L249" s="11" t="s">
        <v>32</v>
      </c>
      <c r="M249" s="11" t="s">
        <v>32</v>
      </c>
      <c r="N249" s="73" t="s">
        <v>32</v>
      </c>
      <c r="O249" s="71" t="s">
        <v>965</v>
      </c>
      <c r="P249" s="88" t="s">
        <v>424</v>
      </c>
      <c r="Q249" s="71" t="s">
        <v>43</v>
      </c>
      <c r="R249" s="71" t="s">
        <v>966</v>
      </c>
      <c r="S249" s="24" t="s">
        <v>967</v>
      </c>
    </row>
    <row r="250" spans="1:19" x14ac:dyDescent="0.25">
      <c r="A250" s="61" t="s">
        <v>968</v>
      </c>
      <c r="B250" s="87" t="s">
        <v>969</v>
      </c>
      <c r="C250" s="61" t="s">
        <v>970</v>
      </c>
      <c r="D250" s="61" t="s">
        <v>328</v>
      </c>
      <c r="E250" s="61" t="s">
        <v>617</v>
      </c>
      <c r="F250" s="61" t="s">
        <v>971</v>
      </c>
      <c r="G250" s="63" t="s">
        <v>618</v>
      </c>
      <c r="H250" s="54" t="s">
        <v>29</v>
      </c>
      <c r="I250" s="60" t="s">
        <v>597</v>
      </c>
      <c r="J250" s="11" t="s">
        <v>32</v>
      </c>
      <c r="K250" s="59" t="s">
        <v>598</v>
      </c>
      <c r="L250" s="11" t="s">
        <v>32</v>
      </c>
      <c r="M250" s="11" t="s">
        <v>32</v>
      </c>
      <c r="N250" s="73" t="s">
        <v>32</v>
      </c>
      <c r="O250" s="71" t="s">
        <v>972</v>
      </c>
      <c r="P250" s="88" t="s">
        <v>424</v>
      </c>
      <c r="Q250" s="71" t="s">
        <v>559</v>
      </c>
      <c r="R250" s="71" t="s">
        <v>973</v>
      </c>
      <c r="S250" s="24" t="s">
        <v>974</v>
      </c>
    </row>
    <row r="251" spans="1:19" x14ac:dyDescent="0.25">
      <c r="A251" s="61" t="s">
        <v>975</v>
      </c>
      <c r="B251" s="87" t="s">
        <v>976</v>
      </c>
      <c r="C251" s="61" t="s">
        <v>977</v>
      </c>
      <c r="D251" s="61" t="s">
        <v>633</v>
      </c>
      <c r="E251" s="61" t="s">
        <v>666</v>
      </c>
      <c r="F251" s="59" t="s">
        <v>76</v>
      </c>
      <c r="G251" s="54" t="s">
        <v>387</v>
      </c>
      <c r="H251" s="54" t="s">
        <v>29</v>
      </c>
      <c r="I251" s="60" t="s">
        <v>597</v>
      </c>
      <c r="J251" s="11" t="s">
        <v>32</v>
      </c>
      <c r="K251" s="59" t="s">
        <v>598</v>
      </c>
      <c r="L251" s="11" t="s">
        <v>32</v>
      </c>
      <c r="M251" s="11" t="s">
        <v>32</v>
      </c>
      <c r="N251" s="73" t="s">
        <v>32</v>
      </c>
      <c r="O251" s="71" t="s">
        <v>77</v>
      </c>
      <c r="P251" s="79" t="s">
        <v>42</v>
      </c>
      <c r="Q251" s="79" t="s">
        <v>42</v>
      </c>
      <c r="R251" s="79" t="s">
        <v>42</v>
      </c>
      <c r="S251" s="24" t="s">
        <v>978</v>
      </c>
    </row>
    <row r="252" spans="1:19" x14ac:dyDescent="0.25">
      <c r="A252" s="61" t="s">
        <v>979</v>
      </c>
      <c r="B252" s="87" t="s">
        <v>980</v>
      </c>
      <c r="C252" s="61" t="s">
        <v>981</v>
      </c>
      <c r="D252" s="61" t="s">
        <v>633</v>
      </c>
      <c r="E252" s="61" t="s">
        <v>634</v>
      </c>
      <c r="F252" s="59" t="s">
        <v>76</v>
      </c>
      <c r="G252" s="63" t="s">
        <v>618</v>
      </c>
      <c r="H252" s="54" t="s">
        <v>29</v>
      </c>
      <c r="I252" s="60" t="s">
        <v>597</v>
      </c>
      <c r="J252" s="11" t="s">
        <v>32</v>
      </c>
      <c r="K252" s="59" t="s">
        <v>598</v>
      </c>
      <c r="L252" s="11" t="s">
        <v>32</v>
      </c>
      <c r="M252" s="11" t="s">
        <v>32</v>
      </c>
      <c r="N252" s="73" t="s">
        <v>32</v>
      </c>
      <c r="O252" s="71" t="s">
        <v>77</v>
      </c>
      <c r="P252" s="79" t="s">
        <v>42</v>
      </c>
      <c r="Q252" s="79" t="s">
        <v>42</v>
      </c>
      <c r="R252" s="79" t="s">
        <v>42</v>
      </c>
      <c r="S252" s="24" t="s">
        <v>982</v>
      </c>
    </row>
    <row r="253" spans="1:19" x14ac:dyDescent="0.25">
      <c r="A253" s="61" t="s">
        <v>983</v>
      </c>
      <c r="B253" s="87" t="s">
        <v>984</v>
      </c>
      <c r="C253" s="61" t="s">
        <v>985</v>
      </c>
      <c r="D253" s="61" t="s">
        <v>565</v>
      </c>
      <c r="E253" s="61" t="s">
        <v>566</v>
      </c>
      <c r="F253" s="10" t="s">
        <v>41</v>
      </c>
      <c r="G253" s="54" t="s">
        <v>387</v>
      </c>
      <c r="H253" s="11" t="s">
        <v>42</v>
      </c>
      <c r="I253" s="11" t="s">
        <v>42</v>
      </c>
      <c r="J253" s="11" t="s">
        <v>42</v>
      </c>
      <c r="K253" s="11" t="s">
        <v>42</v>
      </c>
      <c r="L253" s="11" t="s">
        <v>42</v>
      </c>
      <c r="M253" s="11" t="s">
        <v>42</v>
      </c>
      <c r="N253" s="73" t="s">
        <v>42</v>
      </c>
      <c r="O253" s="71" t="s">
        <v>894</v>
      </c>
      <c r="P253" s="87" t="s">
        <v>34</v>
      </c>
      <c r="Q253" s="71" t="s">
        <v>43</v>
      </c>
      <c r="R253" s="71" t="s">
        <v>896</v>
      </c>
      <c r="S253" s="9" t="str">
        <f>HYPERLINK(CONCATENATE("https://www.analog.com/", A253, "/datasheet"))</f>
        <v>https://www.analog.com/ADH987S/datasheet</v>
      </c>
    </row>
    <row r="254" spans="1:19" x14ac:dyDescent="0.25">
      <c r="A254" s="61" t="s">
        <v>983</v>
      </c>
      <c r="B254" s="87" t="s">
        <v>984</v>
      </c>
      <c r="C254" s="61" t="s">
        <v>986</v>
      </c>
      <c r="D254" s="61" t="s">
        <v>565</v>
      </c>
      <c r="E254" s="61" t="s">
        <v>566</v>
      </c>
      <c r="F254" s="59" t="s">
        <v>27</v>
      </c>
      <c r="G254" s="54" t="s">
        <v>387</v>
      </c>
      <c r="H254" s="54" t="s">
        <v>56</v>
      </c>
      <c r="I254" s="57">
        <v>100</v>
      </c>
      <c r="J254" s="14" t="s">
        <v>987</v>
      </c>
      <c r="K254" s="11" t="s">
        <v>32</v>
      </c>
      <c r="L254" s="11" t="s">
        <v>32</v>
      </c>
      <c r="M254" s="11" t="s">
        <v>32</v>
      </c>
      <c r="N254" s="73" t="s">
        <v>32</v>
      </c>
      <c r="O254" s="71" t="s">
        <v>894</v>
      </c>
      <c r="P254" s="87" t="s">
        <v>34</v>
      </c>
      <c r="Q254" s="71" t="s">
        <v>43</v>
      </c>
      <c r="R254" s="71" t="s">
        <v>896</v>
      </c>
      <c r="S254" s="9" t="str">
        <f>HYPERLINK(CONCATENATE("https://www.analog.com/", A254, "/datasheet"))</f>
        <v>https://www.analog.com/ADH987S/datasheet</v>
      </c>
    </row>
    <row r="255" spans="1:19" x14ac:dyDescent="0.25">
      <c r="A255" s="61" t="s">
        <v>983</v>
      </c>
      <c r="B255" s="87" t="s">
        <v>984</v>
      </c>
      <c r="C255" s="61" t="s">
        <v>988</v>
      </c>
      <c r="D255" s="61" t="s">
        <v>565</v>
      </c>
      <c r="E255" s="61" t="s">
        <v>566</v>
      </c>
      <c r="F255" s="61" t="s">
        <v>971</v>
      </c>
      <c r="G255" s="54" t="s">
        <v>387</v>
      </c>
      <c r="H255" s="66" t="s">
        <v>29</v>
      </c>
      <c r="I255" s="66" t="s">
        <v>30</v>
      </c>
      <c r="J255" s="14" t="s">
        <v>987</v>
      </c>
      <c r="K255" s="11" t="s">
        <v>32</v>
      </c>
      <c r="L255" s="11" t="s">
        <v>32</v>
      </c>
      <c r="M255" s="11" t="s">
        <v>32</v>
      </c>
      <c r="N255" s="73" t="s">
        <v>32</v>
      </c>
      <c r="O255" s="71" t="s">
        <v>989</v>
      </c>
      <c r="P255" s="88" t="s">
        <v>424</v>
      </c>
      <c r="Q255" s="71" t="s">
        <v>43</v>
      </c>
      <c r="R255" s="71" t="s">
        <v>990</v>
      </c>
      <c r="S255" s="24" t="s">
        <v>991</v>
      </c>
    </row>
    <row r="256" spans="1:19" x14ac:dyDescent="0.25">
      <c r="A256" s="61" t="s">
        <v>992</v>
      </c>
      <c r="B256" s="87" t="s">
        <v>993</v>
      </c>
      <c r="C256" s="61" t="s">
        <v>994</v>
      </c>
      <c r="D256" s="61" t="s">
        <v>328</v>
      </c>
      <c r="E256" s="61" t="s">
        <v>699</v>
      </c>
      <c r="F256" s="59" t="s">
        <v>76</v>
      </c>
      <c r="G256" s="63" t="s">
        <v>618</v>
      </c>
      <c r="H256" s="54" t="s">
        <v>29</v>
      </c>
      <c r="I256" s="60" t="s">
        <v>597</v>
      </c>
      <c r="J256" s="11" t="s">
        <v>32</v>
      </c>
      <c r="K256" s="59" t="s">
        <v>598</v>
      </c>
      <c r="L256" s="11" t="s">
        <v>32</v>
      </c>
      <c r="M256" s="11" t="s">
        <v>32</v>
      </c>
      <c r="N256" s="73" t="s">
        <v>32</v>
      </c>
      <c r="O256" s="71" t="s">
        <v>77</v>
      </c>
      <c r="P256" s="79" t="s">
        <v>42</v>
      </c>
      <c r="Q256" s="79" t="s">
        <v>42</v>
      </c>
      <c r="R256" s="79" t="s">
        <v>42</v>
      </c>
      <c r="S256" s="24" t="s">
        <v>995</v>
      </c>
    </row>
    <row r="257" spans="1:19" x14ac:dyDescent="0.25">
      <c r="A257" s="61" t="s">
        <v>996</v>
      </c>
      <c r="B257" s="87" t="s">
        <v>997</v>
      </c>
      <c r="C257" s="61" t="s">
        <v>998</v>
      </c>
      <c r="D257" s="61" t="s">
        <v>328</v>
      </c>
      <c r="E257" s="86" t="s">
        <v>699</v>
      </c>
      <c r="F257" s="59" t="s">
        <v>76</v>
      </c>
      <c r="G257" s="63" t="s">
        <v>618</v>
      </c>
      <c r="H257" s="54" t="s">
        <v>29</v>
      </c>
      <c r="I257" s="60" t="s">
        <v>597</v>
      </c>
      <c r="J257" s="11" t="s">
        <v>32</v>
      </c>
      <c r="K257" s="59" t="s">
        <v>598</v>
      </c>
      <c r="L257" s="11" t="s">
        <v>32</v>
      </c>
      <c r="M257" s="11" t="s">
        <v>32</v>
      </c>
      <c r="N257" s="73" t="s">
        <v>32</v>
      </c>
      <c r="O257" s="71" t="s">
        <v>77</v>
      </c>
      <c r="P257" s="79" t="s">
        <v>42</v>
      </c>
      <c r="Q257" s="79" t="s">
        <v>42</v>
      </c>
      <c r="R257" s="79" t="s">
        <v>42</v>
      </c>
      <c r="S257" s="24" t="s">
        <v>999</v>
      </c>
    </row>
    <row r="258" spans="1:19" x14ac:dyDescent="0.25">
      <c r="A258" s="61" t="s">
        <v>1000</v>
      </c>
      <c r="B258" s="87" t="s">
        <v>1001</v>
      </c>
      <c r="C258" s="61" t="s">
        <v>1002</v>
      </c>
      <c r="D258" s="61" t="s">
        <v>328</v>
      </c>
      <c r="E258" s="61" t="s">
        <v>699</v>
      </c>
      <c r="F258" s="59" t="s">
        <v>76</v>
      </c>
      <c r="G258" s="63" t="s">
        <v>618</v>
      </c>
      <c r="H258" s="54" t="s">
        <v>29</v>
      </c>
      <c r="I258" s="60" t="s">
        <v>597</v>
      </c>
      <c r="J258" s="11" t="s">
        <v>32</v>
      </c>
      <c r="K258" s="59" t="s">
        <v>598</v>
      </c>
      <c r="L258" s="11" t="s">
        <v>32</v>
      </c>
      <c r="M258" s="11" t="s">
        <v>32</v>
      </c>
      <c r="N258" s="73" t="s">
        <v>32</v>
      </c>
      <c r="O258" s="71" t="s">
        <v>77</v>
      </c>
      <c r="P258" s="79" t="s">
        <v>42</v>
      </c>
      <c r="Q258" s="79" t="s">
        <v>42</v>
      </c>
      <c r="R258" s="79" t="s">
        <v>42</v>
      </c>
      <c r="S258" s="9" t="s">
        <v>1003</v>
      </c>
    </row>
    <row r="259" spans="1:19" x14ac:dyDescent="0.25">
      <c r="A259" s="61" t="s">
        <v>1004</v>
      </c>
      <c r="B259" s="87" t="s">
        <v>1005</v>
      </c>
      <c r="C259" s="61" t="s">
        <v>1006</v>
      </c>
      <c r="D259" s="61" t="s">
        <v>328</v>
      </c>
      <c r="E259" s="61" t="s">
        <v>699</v>
      </c>
      <c r="F259" s="59" t="s">
        <v>76</v>
      </c>
      <c r="G259" s="63" t="s">
        <v>618</v>
      </c>
      <c r="H259" s="54" t="s">
        <v>29</v>
      </c>
      <c r="I259" s="60" t="s">
        <v>597</v>
      </c>
      <c r="J259" s="11" t="s">
        <v>32</v>
      </c>
      <c r="K259" s="59" t="s">
        <v>598</v>
      </c>
      <c r="L259" s="11" t="s">
        <v>32</v>
      </c>
      <c r="M259" s="11" t="s">
        <v>32</v>
      </c>
      <c r="N259" s="73" t="s">
        <v>32</v>
      </c>
      <c r="O259" s="71" t="s">
        <v>77</v>
      </c>
      <c r="P259" s="79" t="s">
        <v>42</v>
      </c>
      <c r="Q259" s="79" t="s">
        <v>42</v>
      </c>
      <c r="R259" s="79" t="s">
        <v>42</v>
      </c>
      <c r="S259" s="24" t="s">
        <v>1007</v>
      </c>
    </row>
    <row r="260" spans="1:19" x14ac:dyDescent="0.25">
      <c r="A260" s="61" t="s">
        <v>1008</v>
      </c>
      <c r="B260" s="87" t="s">
        <v>1009</v>
      </c>
      <c r="C260" s="61" t="s">
        <v>1010</v>
      </c>
      <c r="D260" s="61" t="s">
        <v>328</v>
      </c>
      <c r="E260" s="61" t="s">
        <v>694</v>
      </c>
      <c r="F260" s="59" t="s">
        <v>76</v>
      </c>
      <c r="G260" s="63" t="s">
        <v>618</v>
      </c>
      <c r="H260" s="54" t="s">
        <v>29</v>
      </c>
      <c r="I260" s="60" t="s">
        <v>597</v>
      </c>
      <c r="J260" s="11" t="s">
        <v>32</v>
      </c>
      <c r="K260" s="59" t="s">
        <v>598</v>
      </c>
      <c r="L260" s="11" t="s">
        <v>32</v>
      </c>
      <c r="M260" s="11" t="s">
        <v>32</v>
      </c>
      <c r="N260" s="73" t="s">
        <v>32</v>
      </c>
      <c r="O260" s="71" t="s">
        <v>77</v>
      </c>
      <c r="P260" s="79" t="s">
        <v>42</v>
      </c>
      <c r="Q260" s="79" t="s">
        <v>42</v>
      </c>
      <c r="R260" s="79" t="s">
        <v>42</v>
      </c>
      <c r="S260" s="24" t="s">
        <v>1011</v>
      </c>
    </row>
    <row r="261" spans="1:19" x14ac:dyDescent="0.25">
      <c r="A261" s="61" t="s">
        <v>1012</v>
      </c>
      <c r="B261" s="87" t="s">
        <v>1013</v>
      </c>
      <c r="C261" s="61" t="s">
        <v>1014</v>
      </c>
      <c r="D261" s="61" t="s">
        <v>293</v>
      </c>
      <c r="E261" s="61" t="s">
        <v>1015</v>
      </c>
      <c r="F261" s="61" t="s">
        <v>55</v>
      </c>
      <c r="G261" s="54" t="s">
        <v>28</v>
      </c>
      <c r="H261" s="54" t="s">
        <v>56</v>
      </c>
      <c r="I261" s="57">
        <v>50</v>
      </c>
      <c r="J261" s="14" t="s">
        <v>1016</v>
      </c>
      <c r="K261" s="57">
        <v>80</v>
      </c>
      <c r="L261" s="17" t="s">
        <v>1017</v>
      </c>
      <c r="M261" s="11" t="s">
        <v>32</v>
      </c>
      <c r="N261" s="73" t="s">
        <v>32</v>
      </c>
      <c r="O261" s="71" t="s">
        <v>217</v>
      </c>
      <c r="P261" s="88" t="s">
        <v>59</v>
      </c>
      <c r="Q261" s="71" t="s">
        <v>35</v>
      </c>
      <c r="R261" s="71" t="s">
        <v>218</v>
      </c>
      <c r="S261" s="24" t="s">
        <v>1018</v>
      </c>
    </row>
    <row r="262" spans="1:19" x14ac:dyDescent="0.25">
      <c r="A262" s="61" t="s">
        <v>1012</v>
      </c>
      <c r="B262" s="87" t="s">
        <v>1013</v>
      </c>
      <c r="C262" s="61" t="s">
        <v>1019</v>
      </c>
      <c r="D262" s="61" t="s">
        <v>293</v>
      </c>
      <c r="E262" s="61" t="s">
        <v>1015</v>
      </c>
      <c r="F262" s="61" t="s">
        <v>55</v>
      </c>
      <c r="G262" s="54" t="s">
        <v>28</v>
      </c>
      <c r="H262" s="54" t="s">
        <v>56</v>
      </c>
      <c r="I262" s="57">
        <v>100</v>
      </c>
      <c r="J262" s="14" t="s">
        <v>1020</v>
      </c>
      <c r="K262" s="57">
        <v>80</v>
      </c>
      <c r="L262" s="17" t="s">
        <v>1017</v>
      </c>
      <c r="M262" s="11" t="s">
        <v>32</v>
      </c>
      <c r="N262" s="73" t="s">
        <v>32</v>
      </c>
      <c r="O262" s="71" t="s">
        <v>217</v>
      </c>
      <c r="P262" s="88" t="s">
        <v>59</v>
      </c>
      <c r="Q262" s="71" t="s">
        <v>35</v>
      </c>
      <c r="R262" s="71" t="s">
        <v>218</v>
      </c>
      <c r="S262" s="24" t="s">
        <v>1018</v>
      </c>
    </row>
    <row r="263" spans="1:19" x14ac:dyDescent="0.25">
      <c r="A263" s="61" t="s">
        <v>1012</v>
      </c>
      <c r="B263" s="87" t="s">
        <v>1013</v>
      </c>
      <c r="C263" s="61" t="s">
        <v>1021</v>
      </c>
      <c r="D263" s="61" t="s">
        <v>293</v>
      </c>
      <c r="E263" s="61" t="s">
        <v>1015</v>
      </c>
      <c r="F263" s="10" t="s">
        <v>41</v>
      </c>
      <c r="G263" s="54" t="s">
        <v>28</v>
      </c>
      <c r="H263" s="11" t="s">
        <v>42</v>
      </c>
      <c r="I263" s="11" t="s">
        <v>42</v>
      </c>
      <c r="J263" s="11" t="s">
        <v>42</v>
      </c>
      <c r="K263" s="11" t="s">
        <v>42</v>
      </c>
      <c r="L263" s="11" t="s">
        <v>42</v>
      </c>
      <c r="M263" s="11" t="s">
        <v>42</v>
      </c>
      <c r="N263" s="73" t="s">
        <v>42</v>
      </c>
      <c r="O263" s="71" t="s">
        <v>217</v>
      </c>
      <c r="P263" s="88" t="s">
        <v>59</v>
      </c>
      <c r="Q263" s="71" t="s">
        <v>35</v>
      </c>
      <c r="R263" s="71" t="s">
        <v>218</v>
      </c>
      <c r="S263" s="9" t="str">
        <f>HYPERLINK(CONCATENATE("https://www.analog.com/", A263, "/datasheet"))</f>
        <v>https://www.analog.com/ADL5501S/datasheet</v>
      </c>
    </row>
    <row r="264" spans="1:19" x14ac:dyDescent="0.25">
      <c r="A264" s="61" t="s">
        <v>1022</v>
      </c>
      <c r="B264" s="87" t="s">
        <v>1023</v>
      </c>
      <c r="C264" s="61" t="s">
        <v>1024</v>
      </c>
      <c r="D264" s="61" t="s">
        <v>293</v>
      </c>
      <c r="E264" s="61" t="s">
        <v>294</v>
      </c>
      <c r="F264" s="61" t="s">
        <v>55</v>
      </c>
      <c r="G264" s="54" t="s">
        <v>28</v>
      </c>
      <c r="H264" s="54" t="s">
        <v>56</v>
      </c>
      <c r="I264" s="57">
        <v>100</v>
      </c>
      <c r="J264" s="14" t="s">
        <v>1025</v>
      </c>
      <c r="K264" s="57">
        <v>80.2</v>
      </c>
      <c r="L264" s="17" t="s">
        <v>1026</v>
      </c>
      <c r="M264" s="11" t="s">
        <v>32</v>
      </c>
      <c r="N264" s="73" t="s">
        <v>32</v>
      </c>
      <c r="O264" s="71" t="s">
        <v>580</v>
      </c>
      <c r="P264" s="88" t="s">
        <v>34</v>
      </c>
      <c r="Q264" s="71" t="s">
        <v>35</v>
      </c>
      <c r="R264" s="71" t="s">
        <v>581</v>
      </c>
      <c r="S264" s="24" t="s">
        <v>1027</v>
      </c>
    </row>
    <row r="265" spans="1:19" x14ac:dyDescent="0.25">
      <c r="A265" s="61" t="s">
        <v>1022</v>
      </c>
      <c r="B265" s="87" t="s">
        <v>1023</v>
      </c>
      <c r="C265" s="61" t="s">
        <v>1028</v>
      </c>
      <c r="D265" s="61" t="s">
        <v>293</v>
      </c>
      <c r="E265" s="61" t="s">
        <v>294</v>
      </c>
      <c r="F265" s="10" t="s">
        <v>41</v>
      </c>
      <c r="G265" s="54" t="s">
        <v>28</v>
      </c>
      <c r="H265" s="11" t="s">
        <v>42</v>
      </c>
      <c r="I265" s="11" t="s">
        <v>42</v>
      </c>
      <c r="J265" s="11" t="s">
        <v>42</v>
      </c>
      <c r="K265" s="11" t="s">
        <v>42</v>
      </c>
      <c r="L265" s="11" t="s">
        <v>42</v>
      </c>
      <c r="M265" s="11" t="s">
        <v>42</v>
      </c>
      <c r="N265" s="73" t="s">
        <v>42</v>
      </c>
      <c r="O265" s="71" t="s">
        <v>580</v>
      </c>
      <c r="P265" s="88" t="s">
        <v>34</v>
      </c>
      <c r="Q265" s="71" t="s">
        <v>35</v>
      </c>
      <c r="R265" s="71" t="s">
        <v>581</v>
      </c>
      <c r="S265" s="9" t="str">
        <f>HYPERLINK(CONCATENATE("https://www.analog.com/", A265, "/datasheet"))</f>
        <v>https://www.analog.com/ADL5513S/datasheet</v>
      </c>
    </row>
    <row r="266" spans="1:19" x14ac:dyDescent="0.25">
      <c r="A266" s="61" t="s">
        <v>1029</v>
      </c>
      <c r="B266" s="87" t="s">
        <v>1030</v>
      </c>
      <c r="C266" s="61" t="s">
        <v>1031</v>
      </c>
      <c r="D266" s="61" t="s">
        <v>293</v>
      </c>
      <c r="E266" s="61" t="s">
        <v>1032</v>
      </c>
      <c r="F266" s="10" t="s">
        <v>41</v>
      </c>
      <c r="G266" s="54" t="s">
        <v>28</v>
      </c>
      <c r="H266" s="11" t="s">
        <v>42</v>
      </c>
      <c r="I266" s="11" t="s">
        <v>42</v>
      </c>
      <c r="J266" s="11" t="s">
        <v>42</v>
      </c>
      <c r="K266" s="11" t="s">
        <v>42</v>
      </c>
      <c r="L266" s="11" t="s">
        <v>42</v>
      </c>
      <c r="M266" s="11" t="s">
        <v>42</v>
      </c>
      <c r="N266" s="73" t="s">
        <v>42</v>
      </c>
      <c r="O266" s="71" t="s">
        <v>759</v>
      </c>
      <c r="P266" s="88" t="s">
        <v>59</v>
      </c>
      <c r="Q266" s="71" t="s">
        <v>35</v>
      </c>
      <c r="R266" s="71" t="s">
        <v>760</v>
      </c>
      <c r="S266" s="9" t="s">
        <v>1033</v>
      </c>
    </row>
    <row r="267" spans="1:19" x14ac:dyDescent="0.25">
      <c r="A267" s="61" t="s">
        <v>1029</v>
      </c>
      <c r="B267" s="87" t="s">
        <v>1030</v>
      </c>
      <c r="C267" s="61" t="s">
        <v>1034</v>
      </c>
      <c r="D267" s="61" t="s">
        <v>293</v>
      </c>
      <c r="E267" s="61" t="s">
        <v>1032</v>
      </c>
      <c r="F267" s="59" t="s">
        <v>76</v>
      </c>
      <c r="G267" s="54" t="s">
        <v>28</v>
      </c>
      <c r="H267" s="54" t="s">
        <v>56</v>
      </c>
      <c r="I267" s="57">
        <v>100</v>
      </c>
      <c r="J267" s="14" t="s">
        <v>1035</v>
      </c>
      <c r="K267" s="57">
        <v>80</v>
      </c>
      <c r="L267" s="57" t="s">
        <v>1036</v>
      </c>
      <c r="M267" s="11" t="s">
        <v>32</v>
      </c>
      <c r="N267" s="73" t="s">
        <v>32</v>
      </c>
      <c r="O267" s="71" t="s">
        <v>77</v>
      </c>
      <c r="P267" s="79" t="s">
        <v>42</v>
      </c>
      <c r="Q267" s="79" t="s">
        <v>42</v>
      </c>
      <c r="R267" s="79" t="s">
        <v>42</v>
      </c>
      <c r="S267" s="9" t="s">
        <v>1033</v>
      </c>
    </row>
    <row r="268" spans="1:19" x14ac:dyDescent="0.25">
      <c r="A268" s="61" t="s">
        <v>1029</v>
      </c>
      <c r="B268" s="87" t="s">
        <v>1030</v>
      </c>
      <c r="C268" s="61" t="s">
        <v>1037</v>
      </c>
      <c r="D268" s="61" t="s">
        <v>293</v>
      </c>
      <c r="E268" s="61" t="s">
        <v>1032</v>
      </c>
      <c r="F268" s="59" t="s">
        <v>27</v>
      </c>
      <c r="G268" s="54" t="s">
        <v>28</v>
      </c>
      <c r="H268" s="54" t="s">
        <v>56</v>
      </c>
      <c r="I268" s="57">
        <v>100</v>
      </c>
      <c r="J268" s="14" t="s">
        <v>1035</v>
      </c>
      <c r="K268" s="57">
        <v>80</v>
      </c>
      <c r="L268" s="57" t="s">
        <v>1036</v>
      </c>
      <c r="M268" s="11" t="s">
        <v>32</v>
      </c>
      <c r="N268" s="73" t="s">
        <v>32</v>
      </c>
      <c r="O268" s="71" t="s">
        <v>759</v>
      </c>
      <c r="P268" s="88" t="s">
        <v>59</v>
      </c>
      <c r="Q268" s="71" t="s">
        <v>35</v>
      </c>
      <c r="R268" s="71" t="s">
        <v>760</v>
      </c>
      <c r="S268" s="9" t="s">
        <v>1033</v>
      </c>
    </row>
    <row r="269" spans="1:19" x14ac:dyDescent="0.25">
      <c r="A269" s="61" t="s">
        <v>1038</v>
      </c>
      <c r="B269" s="87" t="s">
        <v>1039</v>
      </c>
      <c r="C269" s="61" t="s">
        <v>1040</v>
      </c>
      <c r="D269" s="61" t="s">
        <v>328</v>
      </c>
      <c r="E269" s="61" t="s">
        <v>699</v>
      </c>
      <c r="F269" s="61" t="s">
        <v>421</v>
      </c>
      <c r="G269" s="63" t="s">
        <v>28</v>
      </c>
      <c r="H269" s="54" t="s">
        <v>56</v>
      </c>
      <c r="I269" s="57">
        <v>100</v>
      </c>
      <c r="J269" s="14" t="s">
        <v>1041</v>
      </c>
      <c r="K269" s="57">
        <v>80</v>
      </c>
      <c r="L269" s="17" t="s">
        <v>1042</v>
      </c>
      <c r="M269" s="11" t="s">
        <v>32</v>
      </c>
      <c r="N269" s="73" t="s">
        <v>32</v>
      </c>
      <c r="O269" s="71" t="s">
        <v>1043</v>
      </c>
      <c r="P269" s="88" t="s">
        <v>424</v>
      </c>
      <c r="Q269" s="71" t="s">
        <v>425</v>
      </c>
      <c r="R269" s="71" t="s">
        <v>1044</v>
      </c>
      <c r="S269" s="21" t="s">
        <v>1045</v>
      </c>
    </row>
    <row r="270" spans="1:19" x14ac:dyDescent="0.25">
      <c r="A270" s="61" t="s">
        <v>1038</v>
      </c>
      <c r="B270" s="87" t="s">
        <v>1039</v>
      </c>
      <c r="C270" s="61" t="s">
        <v>1046</v>
      </c>
      <c r="D270" s="61" t="s">
        <v>328</v>
      </c>
      <c r="E270" s="61" t="s">
        <v>699</v>
      </c>
      <c r="F270" s="61" t="s">
        <v>421</v>
      </c>
      <c r="G270" s="63" t="s">
        <v>28</v>
      </c>
      <c r="H270" s="54" t="s">
        <v>56</v>
      </c>
      <c r="I270" s="57">
        <v>100</v>
      </c>
      <c r="J270" s="14" t="s">
        <v>1041</v>
      </c>
      <c r="K270" s="57">
        <v>80</v>
      </c>
      <c r="L270" s="17" t="s">
        <v>1042</v>
      </c>
      <c r="M270" s="11" t="s">
        <v>32</v>
      </c>
      <c r="N270" s="73" t="s">
        <v>32</v>
      </c>
      <c r="O270" s="71" t="s">
        <v>1043</v>
      </c>
      <c r="P270" s="88" t="s">
        <v>424</v>
      </c>
      <c r="Q270" s="71" t="s">
        <v>425</v>
      </c>
      <c r="R270" s="71" t="s">
        <v>1044</v>
      </c>
      <c r="S270" s="21" t="s">
        <v>1045</v>
      </c>
    </row>
    <row r="271" spans="1:19" x14ac:dyDescent="0.25">
      <c r="A271" s="61" t="s">
        <v>1047</v>
      </c>
      <c r="B271" s="87" t="s">
        <v>1048</v>
      </c>
      <c r="C271" s="61" t="s">
        <v>1049</v>
      </c>
      <c r="D271" s="61" t="s">
        <v>328</v>
      </c>
      <c r="E271" s="61" t="s">
        <v>699</v>
      </c>
      <c r="F271" s="61" t="s">
        <v>421</v>
      </c>
      <c r="G271" s="63" t="s">
        <v>28</v>
      </c>
      <c r="H271" s="54" t="s">
        <v>56</v>
      </c>
      <c r="I271" s="57">
        <v>100</v>
      </c>
      <c r="J271" s="14" t="s">
        <v>1050</v>
      </c>
      <c r="K271" s="57">
        <v>80</v>
      </c>
      <c r="L271" s="17" t="s">
        <v>1051</v>
      </c>
      <c r="M271" s="11" t="s">
        <v>32</v>
      </c>
      <c r="N271" s="73" t="s">
        <v>32</v>
      </c>
      <c r="O271" s="71" t="s">
        <v>1043</v>
      </c>
      <c r="P271" s="88" t="s">
        <v>424</v>
      </c>
      <c r="Q271" s="71" t="s">
        <v>425</v>
      </c>
      <c r="R271" s="71" t="s">
        <v>1044</v>
      </c>
      <c r="S271" s="21" t="s">
        <v>1052</v>
      </c>
    </row>
    <row r="272" spans="1:19" x14ac:dyDescent="0.25">
      <c r="A272" s="61" t="s">
        <v>1047</v>
      </c>
      <c r="B272" s="87" t="s">
        <v>1048</v>
      </c>
      <c r="C272" s="61" t="s">
        <v>1053</v>
      </c>
      <c r="D272" s="61" t="s">
        <v>328</v>
      </c>
      <c r="E272" s="61" t="s">
        <v>699</v>
      </c>
      <c r="F272" s="61" t="s">
        <v>421</v>
      </c>
      <c r="G272" s="63" t="s">
        <v>28</v>
      </c>
      <c r="H272" s="54" t="s">
        <v>56</v>
      </c>
      <c r="I272" s="57">
        <v>100</v>
      </c>
      <c r="J272" s="14" t="s">
        <v>1050</v>
      </c>
      <c r="K272" s="57">
        <v>80</v>
      </c>
      <c r="L272" s="17" t="s">
        <v>1051</v>
      </c>
      <c r="M272" s="11" t="s">
        <v>32</v>
      </c>
      <c r="N272" s="73" t="s">
        <v>32</v>
      </c>
      <c r="O272" s="71" t="s">
        <v>1043</v>
      </c>
      <c r="P272" s="88" t="s">
        <v>424</v>
      </c>
      <c r="Q272" s="71" t="s">
        <v>425</v>
      </c>
      <c r="R272" s="71" t="s">
        <v>1044</v>
      </c>
      <c r="S272" s="21" t="s">
        <v>1052</v>
      </c>
    </row>
    <row r="273" spans="1:19" x14ac:dyDescent="0.25">
      <c r="A273" s="61" t="s">
        <v>1054</v>
      </c>
      <c r="B273" s="87" t="s">
        <v>1055</v>
      </c>
      <c r="C273" s="61" t="s">
        <v>1056</v>
      </c>
      <c r="D273" s="61" t="s">
        <v>328</v>
      </c>
      <c r="E273" s="61" t="s">
        <v>699</v>
      </c>
      <c r="F273" s="61" t="s">
        <v>421</v>
      </c>
      <c r="G273" s="54" t="s">
        <v>387</v>
      </c>
      <c r="H273" s="54" t="s">
        <v>56</v>
      </c>
      <c r="I273" s="57">
        <v>30</v>
      </c>
      <c r="J273" s="14" t="s">
        <v>1057</v>
      </c>
      <c r="K273" s="57">
        <v>62.4</v>
      </c>
      <c r="L273" s="11" t="s">
        <v>32</v>
      </c>
      <c r="M273" s="11" t="s">
        <v>32</v>
      </c>
      <c r="N273" s="73" t="s">
        <v>32</v>
      </c>
      <c r="O273" s="71" t="s">
        <v>1043</v>
      </c>
      <c r="P273" s="88" t="s">
        <v>424</v>
      </c>
      <c r="Q273" s="71" t="s">
        <v>425</v>
      </c>
      <c r="R273" s="71" t="s">
        <v>1044</v>
      </c>
      <c r="S273" s="21" t="s">
        <v>1058</v>
      </c>
    </row>
    <row r="274" spans="1:19" x14ac:dyDescent="0.25">
      <c r="A274" s="61" t="s">
        <v>1054</v>
      </c>
      <c r="B274" s="87" t="s">
        <v>1055</v>
      </c>
      <c r="C274" s="61" t="s">
        <v>1059</v>
      </c>
      <c r="D274" s="61" t="s">
        <v>328</v>
      </c>
      <c r="E274" s="61" t="s">
        <v>699</v>
      </c>
      <c r="F274" s="61" t="s">
        <v>421</v>
      </c>
      <c r="G274" s="54" t="s">
        <v>387</v>
      </c>
      <c r="H274" s="54" t="s">
        <v>56</v>
      </c>
      <c r="I274" s="57">
        <v>30</v>
      </c>
      <c r="J274" s="14" t="s">
        <v>1057</v>
      </c>
      <c r="K274" s="57">
        <v>62.4</v>
      </c>
      <c r="L274" s="11" t="s">
        <v>32</v>
      </c>
      <c r="M274" s="11" t="s">
        <v>32</v>
      </c>
      <c r="N274" s="73" t="s">
        <v>32</v>
      </c>
      <c r="O274" s="71" t="s">
        <v>1043</v>
      </c>
      <c r="P274" s="88" t="s">
        <v>424</v>
      </c>
      <c r="Q274" s="71" t="s">
        <v>425</v>
      </c>
      <c r="R274" s="71" t="s">
        <v>1044</v>
      </c>
      <c r="S274" s="21" t="s">
        <v>1058</v>
      </c>
    </row>
    <row r="275" spans="1:19" x14ac:dyDescent="0.25">
      <c r="A275" s="61" t="s">
        <v>1060</v>
      </c>
      <c r="B275" s="87" t="s">
        <v>1061</v>
      </c>
      <c r="C275" s="61" t="s">
        <v>1062</v>
      </c>
      <c r="D275" s="61" t="s">
        <v>328</v>
      </c>
      <c r="E275" s="61" t="s">
        <v>699</v>
      </c>
      <c r="F275" s="61" t="s">
        <v>421</v>
      </c>
      <c r="G275" s="63" t="s">
        <v>618</v>
      </c>
      <c r="H275" s="54" t="s">
        <v>56</v>
      </c>
      <c r="I275" s="57">
        <v>30</v>
      </c>
      <c r="J275" s="14" t="s">
        <v>1063</v>
      </c>
      <c r="K275" s="59" t="s">
        <v>598</v>
      </c>
      <c r="L275" s="11" t="s">
        <v>32</v>
      </c>
      <c r="M275" s="11" t="s">
        <v>32</v>
      </c>
      <c r="N275" s="73" t="s">
        <v>32</v>
      </c>
      <c r="O275" s="71" t="s">
        <v>77</v>
      </c>
      <c r="P275" s="79" t="s">
        <v>42</v>
      </c>
      <c r="Q275" s="79" t="s">
        <v>42</v>
      </c>
      <c r="R275" s="79" t="s">
        <v>42</v>
      </c>
      <c r="S275" s="9" t="s">
        <v>1064</v>
      </c>
    </row>
    <row r="276" spans="1:19" x14ac:dyDescent="0.25">
      <c r="A276" s="61" t="s">
        <v>1065</v>
      </c>
      <c r="B276" s="87" t="s">
        <v>1061</v>
      </c>
      <c r="C276" s="61" t="s">
        <v>1066</v>
      </c>
      <c r="D276" s="61" t="s">
        <v>328</v>
      </c>
      <c r="E276" s="61" t="s">
        <v>699</v>
      </c>
      <c r="F276" s="61" t="s">
        <v>421</v>
      </c>
      <c r="G276" s="54" t="s">
        <v>387</v>
      </c>
      <c r="H276" s="54" t="s">
        <v>56</v>
      </c>
      <c r="I276" s="57">
        <v>30</v>
      </c>
      <c r="J276" s="14" t="s">
        <v>1067</v>
      </c>
      <c r="K276" s="57">
        <v>62.4</v>
      </c>
      <c r="L276" s="17" t="s">
        <v>1068</v>
      </c>
      <c r="M276" s="11" t="s">
        <v>32</v>
      </c>
      <c r="N276" s="73" t="s">
        <v>32</v>
      </c>
      <c r="O276" s="71" t="s">
        <v>1043</v>
      </c>
      <c r="P276" s="87" t="s">
        <v>424</v>
      </c>
      <c r="Q276" s="71" t="s">
        <v>425</v>
      </c>
      <c r="R276" s="71" t="s">
        <v>1044</v>
      </c>
      <c r="S276" s="9" t="str">
        <f>HYPERLINK(CONCATENATE("https://www.analog.com/", A276, "/datasheet"))</f>
        <v>https://www.analog.com/ADL8142S/datasheet</v>
      </c>
    </row>
    <row r="277" spans="1:19" x14ac:dyDescent="0.25">
      <c r="A277" s="61" t="s">
        <v>1065</v>
      </c>
      <c r="B277" s="87" t="s">
        <v>1061</v>
      </c>
      <c r="C277" s="61" t="s">
        <v>1069</v>
      </c>
      <c r="D277" s="61" t="s">
        <v>328</v>
      </c>
      <c r="E277" s="61" t="s">
        <v>699</v>
      </c>
      <c r="F277" s="61" t="s">
        <v>421</v>
      </c>
      <c r="G277" s="54" t="s">
        <v>387</v>
      </c>
      <c r="H277" s="54" t="s">
        <v>56</v>
      </c>
      <c r="I277" s="57">
        <v>30</v>
      </c>
      <c r="J277" s="14" t="s">
        <v>1067</v>
      </c>
      <c r="K277" s="57">
        <v>62.4</v>
      </c>
      <c r="L277" s="17" t="s">
        <v>1068</v>
      </c>
      <c r="M277" s="11" t="s">
        <v>32</v>
      </c>
      <c r="N277" s="73" t="s">
        <v>32</v>
      </c>
      <c r="O277" s="71" t="s">
        <v>1043</v>
      </c>
      <c r="P277" s="87" t="s">
        <v>424</v>
      </c>
      <c r="Q277" s="71" t="s">
        <v>425</v>
      </c>
      <c r="R277" s="71" t="s">
        <v>1044</v>
      </c>
      <c r="S277" s="9" t="str">
        <f>HYPERLINK(CONCATENATE("https://www.analog.com/", A277, "/datasheet"))</f>
        <v>https://www.analog.com/ADL8142S/datasheet</v>
      </c>
    </row>
    <row r="278" spans="1:19" x14ac:dyDescent="0.25">
      <c r="A278" s="61" t="s">
        <v>1070</v>
      </c>
      <c r="B278" s="87" t="s">
        <v>1071</v>
      </c>
      <c r="C278" s="61" t="s">
        <v>1072</v>
      </c>
      <c r="D278" s="61" t="s">
        <v>328</v>
      </c>
      <c r="E278" s="61" t="s">
        <v>699</v>
      </c>
      <c r="F278" s="61" t="s">
        <v>421</v>
      </c>
      <c r="G278" s="63" t="s">
        <v>28</v>
      </c>
      <c r="H278" s="54" t="s">
        <v>56</v>
      </c>
      <c r="I278" s="57">
        <v>100</v>
      </c>
      <c r="J278" s="14" t="s">
        <v>1073</v>
      </c>
      <c r="K278" s="57">
        <v>80</v>
      </c>
      <c r="L278" s="9" t="s">
        <v>1074</v>
      </c>
      <c r="M278" s="11" t="s">
        <v>32</v>
      </c>
      <c r="N278" s="73" t="s">
        <v>32</v>
      </c>
      <c r="O278" s="71" t="s">
        <v>1043</v>
      </c>
      <c r="P278" s="88" t="s">
        <v>424</v>
      </c>
      <c r="Q278" s="71" t="s">
        <v>425</v>
      </c>
      <c r="R278" s="71" t="s">
        <v>1044</v>
      </c>
      <c r="S278" s="21" t="s">
        <v>1075</v>
      </c>
    </row>
    <row r="279" spans="1:19" x14ac:dyDescent="0.25">
      <c r="A279" s="61" t="s">
        <v>1070</v>
      </c>
      <c r="B279" s="87" t="s">
        <v>1071</v>
      </c>
      <c r="C279" s="61" t="s">
        <v>1076</v>
      </c>
      <c r="D279" s="61" t="s">
        <v>328</v>
      </c>
      <c r="E279" s="61" t="s">
        <v>699</v>
      </c>
      <c r="F279" s="61" t="s">
        <v>421</v>
      </c>
      <c r="G279" s="63" t="s">
        <v>28</v>
      </c>
      <c r="H279" s="54" t="s">
        <v>56</v>
      </c>
      <c r="I279" s="57">
        <v>100</v>
      </c>
      <c r="J279" s="14" t="s">
        <v>1073</v>
      </c>
      <c r="K279" s="57">
        <v>80</v>
      </c>
      <c r="L279" s="9" t="s">
        <v>1074</v>
      </c>
      <c r="M279" s="11" t="s">
        <v>32</v>
      </c>
      <c r="N279" s="73" t="s">
        <v>32</v>
      </c>
      <c r="O279" s="71" t="s">
        <v>1043</v>
      </c>
      <c r="P279" s="88" t="s">
        <v>424</v>
      </c>
      <c r="Q279" s="71" t="s">
        <v>425</v>
      </c>
      <c r="R279" s="71" t="s">
        <v>1044</v>
      </c>
      <c r="S279" s="21" t="s">
        <v>1075</v>
      </c>
    </row>
    <row r="280" spans="1:19" x14ac:dyDescent="0.25">
      <c r="A280" s="43" t="s">
        <v>1077</v>
      </c>
      <c r="B280" s="87" t="s">
        <v>1078</v>
      </c>
      <c r="C280" s="43" t="s">
        <v>1079</v>
      </c>
      <c r="D280" s="43" t="s">
        <v>328</v>
      </c>
      <c r="E280" s="43" t="s">
        <v>699</v>
      </c>
      <c r="F280" s="61" t="s">
        <v>386</v>
      </c>
      <c r="G280" s="54" t="s">
        <v>387</v>
      </c>
      <c r="H280" s="54" t="s">
        <v>56</v>
      </c>
      <c r="I280" s="60" t="s">
        <v>597</v>
      </c>
      <c r="J280" s="11" t="s">
        <v>32</v>
      </c>
      <c r="K280" s="59" t="s">
        <v>598</v>
      </c>
      <c r="L280" s="11" t="s">
        <v>32</v>
      </c>
      <c r="M280" s="11" t="s">
        <v>32</v>
      </c>
      <c r="N280" s="73" t="s">
        <v>32</v>
      </c>
      <c r="O280" s="71" t="s">
        <v>1080</v>
      </c>
      <c r="P280" s="81" t="s">
        <v>424</v>
      </c>
      <c r="Q280" s="71" t="s">
        <v>425</v>
      </c>
      <c r="R280" s="71" t="s">
        <v>966</v>
      </c>
      <c r="S280" s="9" t="s">
        <v>1081</v>
      </c>
    </row>
    <row r="281" spans="1:19" x14ac:dyDescent="0.25">
      <c r="A281" s="59" t="s">
        <v>1082</v>
      </c>
      <c r="B281" s="87" t="s">
        <v>1083</v>
      </c>
      <c r="C281" s="59" t="s">
        <v>1084</v>
      </c>
      <c r="D281" s="61" t="s">
        <v>1085</v>
      </c>
      <c r="E281" s="61" t="s">
        <v>1086</v>
      </c>
      <c r="F281" s="59" t="s">
        <v>421</v>
      </c>
      <c r="G281" s="54" t="s">
        <v>28</v>
      </c>
      <c r="H281" s="54" t="s">
        <v>56</v>
      </c>
      <c r="I281" s="57">
        <v>20</v>
      </c>
      <c r="J281" s="17" t="s">
        <v>1087</v>
      </c>
      <c r="K281" s="57">
        <v>58</v>
      </c>
      <c r="L281" s="61" t="s">
        <v>542</v>
      </c>
      <c r="M281" s="11" t="s">
        <v>32</v>
      </c>
      <c r="N281" s="73" t="s">
        <v>32</v>
      </c>
      <c r="O281" s="71" t="s">
        <v>1088</v>
      </c>
      <c r="P281" s="88" t="s">
        <v>424</v>
      </c>
      <c r="Q281" s="71" t="s">
        <v>35</v>
      </c>
      <c r="R281" s="71" t="s">
        <v>1089</v>
      </c>
      <c r="S281" s="9" t="str">
        <f>HYPERLINK(CONCATENATE("https://www.analog.com/", A281, "/datasheet"))</f>
        <v>https://www.analog.com/ADLT2852S/datasheet</v>
      </c>
    </row>
    <row r="282" spans="1:19" x14ac:dyDescent="0.25">
      <c r="A282" s="61" t="s">
        <v>1090</v>
      </c>
      <c r="B282" s="87" t="s">
        <v>1091</v>
      </c>
      <c r="C282" s="61" t="s">
        <v>1092</v>
      </c>
      <c r="D282" s="61" t="s">
        <v>633</v>
      </c>
      <c r="E282" s="61" t="s">
        <v>634</v>
      </c>
      <c r="F282" s="59" t="s">
        <v>421</v>
      </c>
      <c r="G282" s="63" t="s">
        <v>1093</v>
      </c>
      <c r="H282" s="54" t="s">
        <v>56</v>
      </c>
      <c r="I282" s="57">
        <v>100</v>
      </c>
      <c r="J282" s="50" t="s">
        <v>1094</v>
      </c>
      <c r="K282" s="55">
        <v>54</v>
      </c>
      <c r="L282" s="46" t="s">
        <v>1095</v>
      </c>
      <c r="M282" s="11" t="s">
        <v>32</v>
      </c>
      <c r="N282" s="73" t="s">
        <v>32</v>
      </c>
      <c r="O282" s="71" t="s">
        <v>1096</v>
      </c>
      <c r="P282" s="87" t="s">
        <v>424</v>
      </c>
      <c r="Q282" s="71" t="s">
        <v>425</v>
      </c>
      <c r="R282" s="71" t="s">
        <v>1097</v>
      </c>
      <c r="S282" s="9" t="s">
        <v>1098</v>
      </c>
    </row>
    <row r="283" spans="1:19" x14ac:dyDescent="0.25">
      <c r="A283" s="61" t="s">
        <v>1090</v>
      </c>
      <c r="B283" s="87" t="s">
        <v>1091</v>
      </c>
      <c r="C283" s="61" t="s">
        <v>1099</v>
      </c>
      <c r="D283" s="61" t="s">
        <v>633</v>
      </c>
      <c r="E283" s="61" t="s">
        <v>634</v>
      </c>
      <c r="F283" s="59" t="s">
        <v>421</v>
      </c>
      <c r="G283" s="63" t="s">
        <v>1093</v>
      </c>
      <c r="H283" s="54" t="s">
        <v>56</v>
      </c>
      <c r="I283" s="57">
        <v>100</v>
      </c>
      <c r="J283" s="50" t="s">
        <v>1094</v>
      </c>
      <c r="K283" s="55">
        <v>54</v>
      </c>
      <c r="L283" s="46" t="s">
        <v>1095</v>
      </c>
      <c r="M283" s="11" t="s">
        <v>32</v>
      </c>
      <c r="N283" s="73" t="s">
        <v>32</v>
      </c>
      <c r="O283" s="71" t="s">
        <v>1096</v>
      </c>
      <c r="P283" s="87" t="s">
        <v>424</v>
      </c>
      <c r="Q283" s="71" t="s">
        <v>425</v>
      </c>
      <c r="R283" s="71" t="s">
        <v>1097</v>
      </c>
      <c r="S283" s="9" t="s">
        <v>1098</v>
      </c>
    </row>
    <row r="284" spans="1:19" x14ac:dyDescent="0.25">
      <c r="A284" s="61" t="s">
        <v>1100</v>
      </c>
      <c r="B284" s="87" t="s">
        <v>1101</v>
      </c>
      <c r="C284" s="61" t="s">
        <v>1102</v>
      </c>
      <c r="D284" s="61" t="s">
        <v>633</v>
      </c>
      <c r="E284" s="61" t="s">
        <v>634</v>
      </c>
      <c r="F284" s="59" t="s">
        <v>421</v>
      </c>
      <c r="G284" s="63" t="s">
        <v>1093</v>
      </c>
      <c r="H284" s="54" t="s">
        <v>56</v>
      </c>
      <c r="I284" s="57">
        <v>100</v>
      </c>
      <c r="J284" s="50" t="s">
        <v>1103</v>
      </c>
      <c r="K284" s="55">
        <v>58</v>
      </c>
      <c r="L284" s="46" t="s">
        <v>1104</v>
      </c>
      <c r="M284" s="11" t="s">
        <v>32</v>
      </c>
      <c r="N284" s="73" t="s">
        <v>32</v>
      </c>
      <c r="O284" s="71" t="s">
        <v>1105</v>
      </c>
      <c r="P284" s="87" t="s">
        <v>424</v>
      </c>
      <c r="Q284" s="71" t="s">
        <v>425</v>
      </c>
      <c r="R284" s="71" t="s">
        <v>1106</v>
      </c>
      <c r="S284" s="9" t="s">
        <v>1107</v>
      </c>
    </row>
    <row r="285" spans="1:19" x14ac:dyDescent="0.25">
      <c r="A285" s="92" t="s">
        <v>1100</v>
      </c>
      <c r="B285" s="92" t="s">
        <v>1101</v>
      </c>
      <c r="C285" s="92" t="s">
        <v>1108</v>
      </c>
      <c r="D285" s="92" t="s">
        <v>633</v>
      </c>
      <c r="E285" s="92" t="s">
        <v>634</v>
      </c>
      <c r="F285" s="53" t="s">
        <v>421</v>
      </c>
      <c r="G285" s="63" t="s">
        <v>1093</v>
      </c>
      <c r="H285" s="54" t="s">
        <v>56</v>
      </c>
      <c r="I285" s="57">
        <v>100</v>
      </c>
      <c r="J285" s="50" t="s">
        <v>1103</v>
      </c>
      <c r="K285" s="55">
        <v>58</v>
      </c>
      <c r="L285" s="46" t="s">
        <v>1104</v>
      </c>
      <c r="M285" s="11" t="s">
        <v>32</v>
      </c>
      <c r="N285" s="73" t="s">
        <v>32</v>
      </c>
      <c r="O285" s="71" t="s">
        <v>1105</v>
      </c>
      <c r="P285" s="95" t="s">
        <v>424</v>
      </c>
      <c r="Q285" s="71" t="s">
        <v>425</v>
      </c>
      <c r="R285" s="71" t="s">
        <v>1106</v>
      </c>
      <c r="S285" s="84" t="s">
        <v>1107</v>
      </c>
    </row>
    <row r="286" spans="1:19" x14ac:dyDescent="0.25">
      <c r="A286" s="61" t="s">
        <v>1109</v>
      </c>
      <c r="B286" s="87" t="s">
        <v>1110</v>
      </c>
      <c r="C286" s="61" t="s">
        <v>1111</v>
      </c>
      <c r="D286" s="61" t="s">
        <v>633</v>
      </c>
      <c r="E286" s="61" t="s">
        <v>634</v>
      </c>
      <c r="F286" s="59" t="s">
        <v>421</v>
      </c>
      <c r="G286" s="63" t="s">
        <v>1093</v>
      </c>
      <c r="H286" s="54" t="s">
        <v>56</v>
      </c>
      <c r="I286" s="63">
        <v>100</v>
      </c>
      <c r="J286" s="50" t="s">
        <v>1112</v>
      </c>
      <c r="K286" s="55">
        <v>58</v>
      </c>
      <c r="L286" s="68" t="s">
        <v>1113</v>
      </c>
      <c r="M286" s="11" t="s">
        <v>32</v>
      </c>
      <c r="N286" s="73" t="s">
        <v>32</v>
      </c>
      <c r="O286" s="71" t="s">
        <v>1105</v>
      </c>
      <c r="P286" s="87" t="s">
        <v>424</v>
      </c>
      <c r="Q286" s="71" t="s">
        <v>425</v>
      </c>
      <c r="R286" s="71" t="s">
        <v>1114</v>
      </c>
      <c r="S286" s="24" t="s">
        <v>1115</v>
      </c>
    </row>
    <row r="287" spans="1:19" x14ac:dyDescent="0.25">
      <c r="A287" s="86" t="s">
        <v>1109</v>
      </c>
      <c r="B287" s="87" t="s">
        <v>1110</v>
      </c>
      <c r="C287" s="86" t="s">
        <v>1116</v>
      </c>
      <c r="D287" s="86" t="s">
        <v>633</v>
      </c>
      <c r="E287" s="86" t="s">
        <v>634</v>
      </c>
      <c r="F287" s="53" t="s">
        <v>421</v>
      </c>
      <c r="G287" s="63" t="s">
        <v>1093</v>
      </c>
      <c r="H287" s="54" t="s">
        <v>56</v>
      </c>
      <c r="I287" s="64">
        <v>100</v>
      </c>
      <c r="J287" s="50" t="s">
        <v>1112</v>
      </c>
      <c r="K287" s="58">
        <v>58</v>
      </c>
      <c r="L287" s="68" t="s">
        <v>1113</v>
      </c>
      <c r="M287" s="11" t="s">
        <v>32</v>
      </c>
      <c r="N287" s="73" t="s">
        <v>32</v>
      </c>
      <c r="O287" s="71" t="s">
        <v>1105</v>
      </c>
      <c r="P287" s="86" t="s">
        <v>424</v>
      </c>
      <c r="Q287" s="71" t="s">
        <v>425</v>
      </c>
      <c r="R287" s="71" t="s">
        <v>1114</v>
      </c>
      <c r="S287" s="9" t="s">
        <v>1115</v>
      </c>
    </row>
    <row r="288" spans="1:19" x14ac:dyDescent="0.25">
      <c r="A288" s="86" t="s">
        <v>1117</v>
      </c>
      <c r="B288" s="87" t="s">
        <v>1118</v>
      </c>
      <c r="C288" s="86" t="s">
        <v>1119</v>
      </c>
      <c r="D288" s="86" t="s">
        <v>633</v>
      </c>
      <c r="E288" s="86" t="s">
        <v>634</v>
      </c>
      <c r="F288" s="53" t="s">
        <v>421</v>
      </c>
      <c r="G288" s="54" t="s">
        <v>387</v>
      </c>
      <c r="H288" s="54" t="s">
        <v>56</v>
      </c>
      <c r="I288" s="58">
        <v>100</v>
      </c>
      <c r="J288" s="67" t="s">
        <v>1120</v>
      </c>
      <c r="K288" s="58">
        <v>58</v>
      </c>
      <c r="L288" s="68" t="s">
        <v>1121</v>
      </c>
      <c r="M288" s="11" t="s">
        <v>32</v>
      </c>
      <c r="N288" s="73" t="s">
        <v>32</v>
      </c>
      <c r="O288" s="71" t="s">
        <v>1096</v>
      </c>
      <c r="P288" s="86" t="s">
        <v>424</v>
      </c>
      <c r="Q288" s="71" t="s">
        <v>425</v>
      </c>
      <c r="R288" s="71" t="s">
        <v>1122</v>
      </c>
      <c r="S288" s="24" t="s">
        <v>1123</v>
      </c>
    </row>
    <row r="289" spans="1:19" x14ac:dyDescent="0.25">
      <c r="A289" s="86" t="s">
        <v>1117</v>
      </c>
      <c r="B289" s="87" t="s">
        <v>1118</v>
      </c>
      <c r="C289" s="86" t="s">
        <v>1124</v>
      </c>
      <c r="D289" s="86" t="s">
        <v>633</v>
      </c>
      <c r="E289" s="86" t="s">
        <v>634</v>
      </c>
      <c r="F289" s="53" t="s">
        <v>421</v>
      </c>
      <c r="G289" s="54" t="s">
        <v>387</v>
      </c>
      <c r="H289" s="54" t="s">
        <v>56</v>
      </c>
      <c r="I289" s="55">
        <v>100</v>
      </c>
      <c r="J289" s="67" t="s">
        <v>1120</v>
      </c>
      <c r="K289" s="58">
        <v>58</v>
      </c>
      <c r="L289" s="68" t="s">
        <v>1121</v>
      </c>
      <c r="M289" s="11" t="s">
        <v>32</v>
      </c>
      <c r="N289" s="73" t="s">
        <v>32</v>
      </c>
      <c r="O289" s="71" t="s">
        <v>1096</v>
      </c>
      <c r="P289" s="86" t="s">
        <v>424</v>
      </c>
      <c r="Q289" s="71" t="s">
        <v>425</v>
      </c>
      <c r="R289" s="71" t="s">
        <v>1122</v>
      </c>
      <c r="S289" s="24" t="s">
        <v>1123</v>
      </c>
    </row>
    <row r="290" spans="1:19" x14ac:dyDescent="0.25">
      <c r="A290" s="86" t="s">
        <v>1767</v>
      </c>
      <c r="B290" s="87" t="s">
        <v>1766</v>
      </c>
      <c r="C290" s="86" t="s">
        <v>1764</v>
      </c>
      <c r="D290" s="86" t="s">
        <v>633</v>
      </c>
      <c r="E290" s="86" t="s">
        <v>713</v>
      </c>
      <c r="F290" s="53" t="s">
        <v>421</v>
      </c>
      <c r="G290" s="63" t="s">
        <v>1093</v>
      </c>
      <c r="H290" s="54" t="s">
        <v>56</v>
      </c>
      <c r="I290" s="55">
        <v>100</v>
      </c>
      <c r="J290" s="20" t="s">
        <v>1770</v>
      </c>
      <c r="K290" s="58">
        <v>68</v>
      </c>
      <c r="L290" s="100" t="s">
        <v>1771</v>
      </c>
      <c r="M290" s="11" t="s">
        <v>32</v>
      </c>
      <c r="N290" s="73" t="s">
        <v>32</v>
      </c>
      <c r="O290" s="71" t="s">
        <v>1105</v>
      </c>
      <c r="P290" s="86" t="s">
        <v>424</v>
      </c>
      <c r="Q290" s="71" t="s">
        <v>425</v>
      </c>
      <c r="R290" s="71" t="s">
        <v>1768</v>
      </c>
      <c r="S290" s="24" t="s">
        <v>1769</v>
      </c>
    </row>
    <row r="291" spans="1:19" x14ac:dyDescent="0.25">
      <c r="A291" s="86" t="s">
        <v>1767</v>
      </c>
      <c r="B291" s="87" t="s">
        <v>1766</v>
      </c>
      <c r="C291" s="86" t="s">
        <v>1765</v>
      </c>
      <c r="D291" s="86" t="s">
        <v>633</v>
      </c>
      <c r="E291" s="86" t="s">
        <v>713</v>
      </c>
      <c r="F291" s="53" t="s">
        <v>421</v>
      </c>
      <c r="G291" s="63" t="s">
        <v>1093</v>
      </c>
      <c r="H291" s="54" t="s">
        <v>56</v>
      </c>
      <c r="I291" s="55">
        <v>100</v>
      </c>
      <c r="J291" s="20" t="s">
        <v>1770</v>
      </c>
      <c r="K291" s="58">
        <v>68</v>
      </c>
      <c r="L291" s="100" t="s">
        <v>1771</v>
      </c>
      <c r="M291" s="11" t="s">
        <v>32</v>
      </c>
      <c r="N291" s="73" t="s">
        <v>32</v>
      </c>
      <c r="O291" s="71" t="s">
        <v>1105</v>
      </c>
      <c r="P291" s="86" t="s">
        <v>424</v>
      </c>
      <c r="Q291" s="71" t="s">
        <v>425</v>
      </c>
      <c r="R291" s="71" t="s">
        <v>1768</v>
      </c>
      <c r="S291" s="24" t="s">
        <v>1769</v>
      </c>
    </row>
    <row r="292" spans="1:19" x14ac:dyDescent="0.25">
      <c r="A292" s="86" t="s">
        <v>1125</v>
      </c>
      <c r="B292" s="87" t="s">
        <v>1126</v>
      </c>
      <c r="C292" s="86" t="s">
        <v>1127</v>
      </c>
      <c r="D292" s="86" t="s">
        <v>595</v>
      </c>
      <c r="E292" s="86" t="s">
        <v>1128</v>
      </c>
      <c r="F292" s="53" t="s">
        <v>421</v>
      </c>
      <c r="G292" s="54" t="s">
        <v>387</v>
      </c>
      <c r="H292" s="54" t="s">
        <v>56</v>
      </c>
      <c r="I292" s="55">
        <v>100</v>
      </c>
      <c r="J292" s="19" t="s">
        <v>1129</v>
      </c>
      <c r="K292" s="58">
        <v>59.3</v>
      </c>
      <c r="L292" s="9" t="s">
        <v>1130</v>
      </c>
      <c r="M292" s="11" t="s">
        <v>32</v>
      </c>
      <c r="N292" s="73" t="s">
        <v>32</v>
      </c>
      <c r="O292" s="71" t="s">
        <v>1131</v>
      </c>
      <c r="P292" s="86" t="s">
        <v>424</v>
      </c>
      <c r="Q292" s="71" t="s">
        <v>425</v>
      </c>
      <c r="R292" s="71" t="s">
        <v>1132</v>
      </c>
      <c r="S292" s="24" t="s">
        <v>1133</v>
      </c>
    </row>
    <row r="293" spans="1:19" x14ac:dyDescent="0.25">
      <c r="A293" s="86" t="s">
        <v>1125</v>
      </c>
      <c r="B293" s="87" t="s">
        <v>1126</v>
      </c>
      <c r="C293" s="86" t="s">
        <v>1134</v>
      </c>
      <c r="D293" s="86" t="s">
        <v>595</v>
      </c>
      <c r="E293" s="86" t="s">
        <v>1128</v>
      </c>
      <c r="F293" s="53" t="s">
        <v>421</v>
      </c>
      <c r="G293" s="54" t="s">
        <v>387</v>
      </c>
      <c r="H293" s="54" t="s">
        <v>56</v>
      </c>
      <c r="I293" s="55">
        <v>100</v>
      </c>
      <c r="J293" s="19" t="s">
        <v>1129</v>
      </c>
      <c r="K293" s="58">
        <v>59.3</v>
      </c>
      <c r="L293" s="9" t="s">
        <v>1130</v>
      </c>
      <c r="M293" s="11" t="s">
        <v>32</v>
      </c>
      <c r="N293" s="73" t="s">
        <v>32</v>
      </c>
      <c r="O293" s="71" t="s">
        <v>1131</v>
      </c>
      <c r="P293" s="86" t="s">
        <v>424</v>
      </c>
      <c r="Q293" s="71" t="s">
        <v>425</v>
      </c>
      <c r="R293" s="71" t="s">
        <v>1132</v>
      </c>
      <c r="S293" s="24" t="s">
        <v>1133</v>
      </c>
    </row>
    <row r="294" spans="1:19" x14ac:dyDescent="0.25">
      <c r="A294" s="65" t="s">
        <v>1135</v>
      </c>
      <c r="B294" s="87" t="s">
        <v>1126</v>
      </c>
      <c r="C294" s="65" t="s">
        <v>1136</v>
      </c>
      <c r="D294" s="86" t="s">
        <v>595</v>
      </c>
      <c r="E294" s="86" t="s">
        <v>1128</v>
      </c>
      <c r="F294" s="86" t="s">
        <v>386</v>
      </c>
      <c r="G294" s="54" t="s">
        <v>387</v>
      </c>
      <c r="H294" s="54" t="s">
        <v>56</v>
      </c>
      <c r="I294" s="55">
        <v>100</v>
      </c>
      <c r="J294" s="20" t="s">
        <v>1137</v>
      </c>
      <c r="K294" s="58">
        <v>59.3</v>
      </c>
      <c r="L294" s="9" t="s">
        <v>1130</v>
      </c>
      <c r="M294" s="11" t="s">
        <v>32</v>
      </c>
      <c r="N294" s="73" t="s">
        <v>32</v>
      </c>
      <c r="O294" s="71" t="s">
        <v>1131</v>
      </c>
      <c r="P294" s="86" t="s">
        <v>424</v>
      </c>
      <c r="Q294" s="71" t="s">
        <v>425</v>
      </c>
      <c r="R294" s="71" t="s">
        <v>1132</v>
      </c>
      <c r="S294" s="24" t="s">
        <v>1138</v>
      </c>
    </row>
    <row r="295" spans="1:19" x14ac:dyDescent="0.25">
      <c r="A295" s="86" t="s">
        <v>1139</v>
      </c>
      <c r="B295" s="87" t="s">
        <v>1140</v>
      </c>
      <c r="C295" s="86" t="s">
        <v>1141</v>
      </c>
      <c r="D295" s="86" t="s">
        <v>1085</v>
      </c>
      <c r="E295" s="86" t="s">
        <v>1142</v>
      </c>
      <c r="F295" s="38" t="s">
        <v>41</v>
      </c>
      <c r="G295" s="54" t="s">
        <v>28</v>
      </c>
      <c r="H295" s="11" t="s">
        <v>42</v>
      </c>
      <c r="I295" s="11" t="s">
        <v>42</v>
      </c>
      <c r="J295" s="16" t="s">
        <v>42</v>
      </c>
      <c r="K295" s="16" t="s">
        <v>42</v>
      </c>
      <c r="L295" s="16" t="s">
        <v>42</v>
      </c>
      <c r="M295" s="11" t="s">
        <v>42</v>
      </c>
      <c r="N295" s="73" t="s">
        <v>42</v>
      </c>
      <c r="O295" s="71" t="s">
        <v>580</v>
      </c>
      <c r="P295" s="53" t="s">
        <v>34</v>
      </c>
      <c r="Q295" s="71" t="s">
        <v>35</v>
      </c>
      <c r="R295" s="71" t="s">
        <v>581</v>
      </c>
      <c r="S295" s="9" t="str">
        <f t="shared" ref="S295:S300" si="3">HYPERLINK(CONCATENATE("https://www.analog.com/", A295, "/datasheet"))</f>
        <v>https://www.analog.com/ADUM141ES/datasheet</v>
      </c>
    </row>
    <row r="296" spans="1:19" x14ac:dyDescent="0.25">
      <c r="A296" s="86" t="s">
        <v>1139</v>
      </c>
      <c r="B296" s="87" t="s">
        <v>1140</v>
      </c>
      <c r="C296" s="86" t="s">
        <v>1143</v>
      </c>
      <c r="D296" s="86" t="s">
        <v>1085</v>
      </c>
      <c r="E296" s="86" t="s">
        <v>1142</v>
      </c>
      <c r="F296" s="53" t="s">
        <v>27</v>
      </c>
      <c r="G296" s="54" t="s">
        <v>28</v>
      </c>
      <c r="H296" s="54" t="s">
        <v>56</v>
      </c>
      <c r="I296" s="57">
        <v>50</v>
      </c>
      <c r="J296" s="15" t="s">
        <v>1144</v>
      </c>
      <c r="K296" s="66">
        <v>86</v>
      </c>
      <c r="L296" s="20" t="s">
        <v>1145</v>
      </c>
      <c r="M296" s="11" t="s">
        <v>32</v>
      </c>
      <c r="N296" s="73" t="s">
        <v>32</v>
      </c>
      <c r="O296" s="71" t="s">
        <v>580</v>
      </c>
      <c r="P296" s="53" t="s">
        <v>34</v>
      </c>
      <c r="Q296" s="71" t="s">
        <v>35</v>
      </c>
      <c r="R296" s="71" t="s">
        <v>581</v>
      </c>
      <c r="S296" s="9" t="str">
        <f t="shared" si="3"/>
        <v>https://www.analog.com/ADUM141ES/datasheet</v>
      </c>
    </row>
    <row r="297" spans="1:19" x14ac:dyDescent="0.25">
      <c r="A297" s="61" t="s">
        <v>1146</v>
      </c>
      <c r="B297" s="87" t="s">
        <v>1147</v>
      </c>
      <c r="C297" s="61" t="s">
        <v>1148</v>
      </c>
      <c r="D297" s="61" t="s">
        <v>53</v>
      </c>
      <c r="E297" s="61" t="s">
        <v>1149</v>
      </c>
      <c r="F297" s="38" t="s">
        <v>41</v>
      </c>
      <c r="G297" s="54" t="s">
        <v>28</v>
      </c>
      <c r="H297" s="11" t="s">
        <v>42</v>
      </c>
      <c r="I297" s="11" t="s">
        <v>42</v>
      </c>
      <c r="J297" s="11" t="s">
        <v>42</v>
      </c>
      <c r="K297" s="16" t="s">
        <v>42</v>
      </c>
      <c r="L297" s="11" t="s">
        <v>42</v>
      </c>
      <c r="M297" s="11" t="s">
        <v>42</v>
      </c>
      <c r="N297" s="73" t="s">
        <v>42</v>
      </c>
      <c r="O297" s="71" t="s">
        <v>580</v>
      </c>
      <c r="P297" s="88" t="s">
        <v>34</v>
      </c>
      <c r="Q297" s="71" t="s">
        <v>35</v>
      </c>
      <c r="R297" s="71" t="s">
        <v>581</v>
      </c>
      <c r="S297" s="9" t="str">
        <f t="shared" si="3"/>
        <v>https://www.analog.com/ADUM3190S/datasheet</v>
      </c>
    </row>
    <row r="298" spans="1:19" x14ac:dyDescent="0.25">
      <c r="A298" s="61" t="s">
        <v>1146</v>
      </c>
      <c r="B298" s="87" t="s">
        <v>1147</v>
      </c>
      <c r="C298" s="61" t="s">
        <v>1150</v>
      </c>
      <c r="D298" s="61" t="s">
        <v>53</v>
      </c>
      <c r="E298" s="61" t="s">
        <v>1149</v>
      </c>
      <c r="F298" s="53" t="s">
        <v>27</v>
      </c>
      <c r="G298" s="54" t="s">
        <v>28</v>
      </c>
      <c r="H298" s="54" t="s">
        <v>56</v>
      </c>
      <c r="I298" s="57">
        <v>30</v>
      </c>
      <c r="J298" s="14" t="s">
        <v>1151</v>
      </c>
      <c r="K298" s="66">
        <v>59</v>
      </c>
      <c r="L298" s="17" t="s">
        <v>1152</v>
      </c>
      <c r="M298" s="11" t="s">
        <v>32</v>
      </c>
      <c r="N298" s="73" t="s">
        <v>32</v>
      </c>
      <c r="O298" s="71" t="s">
        <v>580</v>
      </c>
      <c r="P298" s="88" t="s">
        <v>34</v>
      </c>
      <c r="Q298" s="71" t="s">
        <v>35</v>
      </c>
      <c r="R298" s="71" t="s">
        <v>581</v>
      </c>
      <c r="S298" s="9" t="str">
        <f t="shared" si="3"/>
        <v>https://www.analog.com/ADUM3190S/datasheet</v>
      </c>
    </row>
    <row r="299" spans="1:19" x14ac:dyDescent="0.25">
      <c r="A299" s="61" t="s">
        <v>1153</v>
      </c>
      <c r="B299" s="87" t="s">
        <v>1154</v>
      </c>
      <c r="C299" s="61" t="s">
        <v>1155</v>
      </c>
      <c r="D299" s="61" t="s">
        <v>1085</v>
      </c>
      <c r="E299" s="61" t="s">
        <v>1142</v>
      </c>
      <c r="F299" s="38" t="s">
        <v>41</v>
      </c>
      <c r="G299" s="54" t="s">
        <v>28</v>
      </c>
      <c r="H299" s="11" t="s">
        <v>42</v>
      </c>
      <c r="I299" s="11" t="s">
        <v>42</v>
      </c>
      <c r="J299" s="11" t="s">
        <v>42</v>
      </c>
      <c r="K299" s="16" t="s">
        <v>42</v>
      </c>
      <c r="L299" s="11" t="s">
        <v>42</v>
      </c>
      <c r="M299" s="11" t="s">
        <v>42</v>
      </c>
      <c r="N299" s="73" t="s">
        <v>42</v>
      </c>
      <c r="O299" s="71" t="s">
        <v>1156</v>
      </c>
      <c r="P299" s="88" t="s">
        <v>59</v>
      </c>
      <c r="Q299" s="71" t="s">
        <v>35</v>
      </c>
      <c r="R299" s="71" t="s">
        <v>581</v>
      </c>
      <c r="S299" s="9" t="str">
        <f t="shared" si="3"/>
        <v>https://www.analog.com/ADUM7442S/datasheet</v>
      </c>
    </row>
    <row r="300" spans="1:19" x14ac:dyDescent="0.25">
      <c r="A300" s="61" t="s">
        <v>1153</v>
      </c>
      <c r="B300" s="87" t="s">
        <v>1154</v>
      </c>
      <c r="C300" s="61" t="s">
        <v>1157</v>
      </c>
      <c r="D300" s="61" t="s">
        <v>1085</v>
      </c>
      <c r="E300" s="61" t="s">
        <v>1142</v>
      </c>
      <c r="F300" s="59" t="s">
        <v>27</v>
      </c>
      <c r="G300" s="54" t="s">
        <v>28</v>
      </c>
      <c r="H300" s="54" t="s">
        <v>56</v>
      </c>
      <c r="I300" s="57">
        <v>100</v>
      </c>
      <c r="J300" s="14" t="s">
        <v>1158</v>
      </c>
      <c r="K300" s="57">
        <v>80</v>
      </c>
      <c r="L300" s="17" t="s">
        <v>1159</v>
      </c>
      <c r="M300" s="11" t="s">
        <v>32</v>
      </c>
      <c r="N300" s="73" t="s">
        <v>32</v>
      </c>
      <c r="O300" s="71" t="s">
        <v>1156</v>
      </c>
      <c r="P300" s="88" t="s">
        <v>34</v>
      </c>
      <c r="Q300" s="71" t="s">
        <v>35</v>
      </c>
      <c r="R300" s="71" t="s">
        <v>581</v>
      </c>
      <c r="S300" s="9" t="str">
        <f t="shared" si="3"/>
        <v>https://www.analog.com/ADUM7442S/datasheet</v>
      </c>
    </row>
    <row r="301" spans="1:19" x14ac:dyDescent="0.25">
      <c r="A301" s="61" t="s">
        <v>1160</v>
      </c>
      <c r="B301" s="87" t="s">
        <v>1161</v>
      </c>
      <c r="C301" s="61" t="s">
        <v>1162</v>
      </c>
      <c r="D301" s="61" t="s">
        <v>53</v>
      </c>
      <c r="E301" s="61" t="s">
        <v>54</v>
      </c>
      <c r="F301" s="61" t="s">
        <v>55</v>
      </c>
      <c r="G301" s="54" t="s">
        <v>28</v>
      </c>
      <c r="H301" s="54" t="s">
        <v>29</v>
      </c>
      <c r="I301" s="57" t="s">
        <v>30</v>
      </c>
      <c r="J301" s="46" t="s">
        <v>1163</v>
      </c>
      <c r="K301" s="11" t="s">
        <v>32</v>
      </c>
      <c r="L301" s="11" t="s">
        <v>32</v>
      </c>
      <c r="M301" s="11" t="s">
        <v>32</v>
      </c>
      <c r="N301" s="73" t="s">
        <v>32</v>
      </c>
      <c r="O301" s="71" t="s">
        <v>1164</v>
      </c>
      <c r="P301" s="88" t="s">
        <v>59</v>
      </c>
      <c r="Q301" s="71" t="s">
        <v>35</v>
      </c>
      <c r="R301" s="71" t="s">
        <v>1165</v>
      </c>
      <c r="S301" s="9" t="s">
        <v>1166</v>
      </c>
    </row>
    <row r="302" spans="1:19" x14ac:dyDescent="0.25">
      <c r="A302" s="61" t="s">
        <v>1160</v>
      </c>
      <c r="B302" s="87" t="s">
        <v>1161</v>
      </c>
      <c r="C302" s="61" t="s">
        <v>1167</v>
      </c>
      <c r="D302" s="61" t="s">
        <v>53</v>
      </c>
      <c r="E302" s="61" t="s">
        <v>54</v>
      </c>
      <c r="F302" s="61" t="s">
        <v>55</v>
      </c>
      <c r="G302" s="54" t="s">
        <v>28</v>
      </c>
      <c r="H302" s="54" t="s">
        <v>29</v>
      </c>
      <c r="I302" s="57" t="s">
        <v>30</v>
      </c>
      <c r="J302" s="46" t="s">
        <v>1163</v>
      </c>
      <c r="K302" s="11" t="s">
        <v>32</v>
      </c>
      <c r="L302" s="11" t="s">
        <v>32</v>
      </c>
      <c r="M302" s="11" t="s">
        <v>32</v>
      </c>
      <c r="N302" s="73" t="s">
        <v>32</v>
      </c>
      <c r="O302" s="71" t="s">
        <v>101</v>
      </c>
      <c r="P302" s="88" t="s">
        <v>59</v>
      </c>
      <c r="Q302" s="71" t="s">
        <v>35</v>
      </c>
      <c r="R302" s="71" t="s">
        <v>102</v>
      </c>
      <c r="S302" s="24" t="s">
        <v>1166</v>
      </c>
    </row>
    <row r="303" spans="1:19" x14ac:dyDescent="0.25">
      <c r="A303" s="61" t="s">
        <v>1160</v>
      </c>
      <c r="B303" s="87" t="s">
        <v>1161</v>
      </c>
      <c r="C303" s="61" t="s">
        <v>1168</v>
      </c>
      <c r="D303" s="61" t="s">
        <v>53</v>
      </c>
      <c r="E303" s="61" t="s">
        <v>54</v>
      </c>
      <c r="F303" s="59" t="s">
        <v>76</v>
      </c>
      <c r="G303" s="54" t="s">
        <v>28</v>
      </c>
      <c r="H303" s="54" t="s">
        <v>29</v>
      </c>
      <c r="I303" s="57" t="s">
        <v>30</v>
      </c>
      <c r="J303" s="46" t="s">
        <v>1163</v>
      </c>
      <c r="K303" s="11" t="s">
        <v>32</v>
      </c>
      <c r="L303" s="11" t="s">
        <v>32</v>
      </c>
      <c r="M303" s="11" t="s">
        <v>32</v>
      </c>
      <c r="N303" s="73" t="s">
        <v>32</v>
      </c>
      <c r="O303" s="71" t="s">
        <v>77</v>
      </c>
      <c r="P303" s="79" t="s">
        <v>42</v>
      </c>
      <c r="Q303" s="79" t="s">
        <v>42</v>
      </c>
      <c r="R303" s="79" t="s">
        <v>42</v>
      </c>
      <c r="S303" s="9" t="str">
        <f>HYPERLINK(CONCATENATE("https://www.analog.com/", A303, "/datasheet"))</f>
        <v>https://www.analog.com/AMP01S/datasheet</v>
      </c>
    </row>
    <row r="304" spans="1:19" x14ac:dyDescent="0.25">
      <c r="A304" s="61" t="s">
        <v>1169</v>
      </c>
      <c r="B304" s="87" t="s">
        <v>1170</v>
      </c>
      <c r="C304" s="61" t="s">
        <v>1171</v>
      </c>
      <c r="D304" s="61" t="s">
        <v>86</v>
      </c>
      <c r="E304" s="61" t="s">
        <v>87</v>
      </c>
      <c r="F304" s="61" t="s">
        <v>55</v>
      </c>
      <c r="G304" s="54" t="s">
        <v>28</v>
      </c>
      <c r="H304" s="54" t="s">
        <v>56</v>
      </c>
      <c r="I304" s="57">
        <v>50</v>
      </c>
      <c r="J304" s="14" t="s">
        <v>1172</v>
      </c>
      <c r="K304" s="11" t="s">
        <v>32</v>
      </c>
      <c r="L304" s="11" t="s">
        <v>32</v>
      </c>
      <c r="M304" s="89">
        <v>2000000000000</v>
      </c>
      <c r="N304" s="74" t="s">
        <v>1173</v>
      </c>
      <c r="O304" s="71" t="s">
        <v>297</v>
      </c>
      <c r="P304" s="88" t="s">
        <v>298</v>
      </c>
      <c r="Q304" s="71" t="s">
        <v>35</v>
      </c>
      <c r="R304" s="99" t="s">
        <v>1174</v>
      </c>
      <c r="S304" s="24" t="s">
        <v>1175</v>
      </c>
    </row>
    <row r="305" spans="1:19" x14ac:dyDescent="0.25">
      <c r="A305" s="61" t="s">
        <v>1169</v>
      </c>
      <c r="B305" s="87" t="s">
        <v>1170</v>
      </c>
      <c r="C305" s="61" t="s">
        <v>1176</v>
      </c>
      <c r="D305" s="61" t="s">
        <v>86</v>
      </c>
      <c r="E305" s="61" t="s">
        <v>87</v>
      </c>
      <c r="F305" s="61" t="s">
        <v>55</v>
      </c>
      <c r="G305" s="54" t="s">
        <v>28</v>
      </c>
      <c r="H305" s="54" t="s">
        <v>56</v>
      </c>
      <c r="I305" s="57">
        <v>100</v>
      </c>
      <c r="J305" s="14" t="s">
        <v>1177</v>
      </c>
      <c r="K305" s="11" t="s">
        <v>32</v>
      </c>
      <c r="L305" s="11" t="s">
        <v>32</v>
      </c>
      <c r="M305" s="89">
        <v>2000000000000</v>
      </c>
      <c r="N305" s="74" t="s">
        <v>1173</v>
      </c>
      <c r="O305" s="71" t="s">
        <v>58</v>
      </c>
      <c r="P305" s="88" t="s">
        <v>59</v>
      </c>
      <c r="Q305" s="71" t="s">
        <v>35</v>
      </c>
      <c r="R305" s="71" t="s">
        <v>320</v>
      </c>
      <c r="S305" s="24" t="s">
        <v>1175</v>
      </c>
    </row>
    <row r="306" spans="1:19" x14ac:dyDescent="0.25">
      <c r="A306" s="61" t="s">
        <v>1169</v>
      </c>
      <c r="B306" s="87" t="s">
        <v>1170</v>
      </c>
      <c r="C306" s="61" t="s">
        <v>1178</v>
      </c>
      <c r="D306" s="61" t="s">
        <v>86</v>
      </c>
      <c r="E306" s="61" t="s">
        <v>87</v>
      </c>
      <c r="F306" s="61" t="s">
        <v>55</v>
      </c>
      <c r="G306" s="54" t="s">
        <v>28</v>
      </c>
      <c r="H306" s="54" t="s">
        <v>56</v>
      </c>
      <c r="I306" s="57">
        <v>100</v>
      </c>
      <c r="J306" s="14" t="s">
        <v>1177</v>
      </c>
      <c r="K306" s="11" t="s">
        <v>32</v>
      </c>
      <c r="L306" s="11" t="s">
        <v>32</v>
      </c>
      <c r="M306" s="89">
        <v>2000000000000</v>
      </c>
      <c r="N306" s="74" t="s">
        <v>1173</v>
      </c>
      <c r="O306" s="102" t="s">
        <v>63</v>
      </c>
      <c r="P306" s="88" t="s">
        <v>34</v>
      </c>
      <c r="Q306" s="71" t="s">
        <v>35</v>
      </c>
      <c r="R306" s="71" t="s">
        <v>64</v>
      </c>
      <c r="S306" s="24" t="s">
        <v>1175</v>
      </c>
    </row>
    <row r="307" spans="1:19" x14ac:dyDescent="0.25">
      <c r="A307" s="61" t="s">
        <v>1169</v>
      </c>
      <c r="B307" s="87" t="s">
        <v>1170</v>
      </c>
      <c r="C307" s="61" t="s">
        <v>1179</v>
      </c>
      <c r="D307" s="61" t="s">
        <v>86</v>
      </c>
      <c r="E307" s="61" t="s">
        <v>87</v>
      </c>
      <c r="F307" s="61" t="s">
        <v>55</v>
      </c>
      <c r="G307" s="54" t="s">
        <v>28</v>
      </c>
      <c r="H307" s="51" t="s">
        <v>56</v>
      </c>
      <c r="I307" s="66">
        <v>100</v>
      </c>
      <c r="J307" s="14" t="s">
        <v>1177</v>
      </c>
      <c r="K307" s="11" t="s">
        <v>32</v>
      </c>
      <c r="L307" s="11" t="s">
        <v>32</v>
      </c>
      <c r="M307" s="89">
        <v>2000000000000</v>
      </c>
      <c r="N307" s="74" t="s">
        <v>1173</v>
      </c>
      <c r="O307" s="71" t="s">
        <v>297</v>
      </c>
      <c r="P307" s="88" t="s">
        <v>298</v>
      </c>
      <c r="Q307" s="71" t="s">
        <v>35</v>
      </c>
      <c r="R307" s="99" t="s">
        <v>1174</v>
      </c>
      <c r="S307" s="24" t="s">
        <v>1175</v>
      </c>
    </row>
    <row r="308" spans="1:19" x14ac:dyDescent="0.25">
      <c r="A308" s="61" t="s">
        <v>1169</v>
      </c>
      <c r="B308" s="87" t="s">
        <v>1170</v>
      </c>
      <c r="C308" s="61" t="s">
        <v>1180</v>
      </c>
      <c r="D308" s="61" t="s">
        <v>86</v>
      </c>
      <c r="E308" s="61" t="s">
        <v>87</v>
      </c>
      <c r="F308" s="61" t="s">
        <v>55</v>
      </c>
      <c r="G308" s="54" t="s">
        <v>28</v>
      </c>
      <c r="H308" s="54" t="s">
        <v>56</v>
      </c>
      <c r="I308" s="57">
        <v>100</v>
      </c>
      <c r="J308" s="14" t="s">
        <v>1177</v>
      </c>
      <c r="K308" s="11" t="s">
        <v>32</v>
      </c>
      <c r="L308" s="11" t="s">
        <v>32</v>
      </c>
      <c r="M308" s="89">
        <v>2000000000000</v>
      </c>
      <c r="N308" s="74" t="s">
        <v>1173</v>
      </c>
      <c r="O308" s="71" t="s">
        <v>58</v>
      </c>
      <c r="P308" s="88" t="s">
        <v>59</v>
      </c>
      <c r="Q308" s="71" t="s">
        <v>35</v>
      </c>
      <c r="R308" s="71" t="s">
        <v>320</v>
      </c>
      <c r="S308" s="24" t="s">
        <v>1175</v>
      </c>
    </row>
    <row r="309" spans="1:19" x14ac:dyDescent="0.25">
      <c r="A309" s="61" t="s">
        <v>1169</v>
      </c>
      <c r="B309" s="87" t="s">
        <v>1170</v>
      </c>
      <c r="C309" s="61" t="s">
        <v>1181</v>
      </c>
      <c r="D309" s="61" t="s">
        <v>86</v>
      </c>
      <c r="E309" s="61" t="s">
        <v>87</v>
      </c>
      <c r="F309" s="61" t="s">
        <v>55</v>
      </c>
      <c r="G309" s="54" t="s">
        <v>28</v>
      </c>
      <c r="H309" s="54" t="s">
        <v>56</v>
      </c>
      <c r="I309" s="57">
        <v>100</v>
      </c>
      <c r="J309" s="14" t="s">
        <v>1177</v>
      </c>
      <c r="K309" s="11" t="s">
        <v>32</v>
      </c>
      <c r="L309" s="11" t="s">
        <v>32</v>
      </c>
      <c r="M309" s="89">
        <v>2000000000000</v>
      </c>
      <c r="N309" s="74" t="s">
        <v>1173</v>
      </c>
      <c r="O309" s="102" t="s">
        <v>63</v>
      </c>
      <c r="P309" s="88" t="s">
        <v>34</v>
      </c>
      <c r="Q309" s="71" t="s">
        <v>35</v>
      </c>
      <c r="R309" s="71" t="s">
        <v>64</v>
      </c>
      <c r="S309" s="9" t="s">
        <v>1175</v>
      </c>
    </row>
    <row r="310" spans="1:19" x14ac:dyDescent="0.25">
      <c r="A310" s="61" t="s">
        <v>1169</v>
      </c>
      <c r="B310" s="87" t="s">
        <v>1170</v>
      </c>
      <c r="C310" s="61" t="s">
        <v>1182</v>
      </c>
      <c r="D310" s="61" t="s">
        <v>86</v>
      </c>
      <c r="E310" s="61" t="s">
        <v>87</v>
      </c>
      <c r="F310" s="61" t="s">
        <v>55</v>
      </c>
      <c r="G310" s="54" t="s">
        <v>28</v>
      </c>
      <c r="H310" s="54" t="s">
        <v>56</v>
      </c>
      <c r="I310" s="57">
        <v>100</v>
      </c>
      <c r="J310" s="14" t="s">
        <v>1177</v>
      </c>
      <c r="K310" s="11" t="s">
        <v>32</v>
      </c>
      <c r="L310" s="11" t="s">
        <v>32</v>
      </c>
      <c r="M310" s="89">
        <v>2000000000000</v>
      </c>
      <c r="N310" s="74" t="s">
        <v>1173</v>
      </c>
      <c r="O310" s="71" t="s">
        <v>297</v>
      </c>
      <c r="P310" s="88" t="s">
        <v>298</v>
      </c>
      <c r="Q310" s="71" t="s">
        <v>35</v>
      </c>
      <c r="R310" s="99" t="s">
        <v>1174</v>
      </c>
      <c r="S310" s="24" t="s">
        <v>1175</v>
      </c>
    </row>
    <row r="311" spans="1:19" x14ac:dyDescent="0.25">
      <c r="A311" s="61" t="s">
        <v>1169</v>
      </c>
      <c r="B311" s="87" t="s">
        <v>1170</v>
      </c>
      <c r="C311" s="61" t="s">
        <v>1183</v>
      </c>
      <c r="D311" s="61" t="s">
        <v>86</v>
      </c>
      <c r="E311" s="61" t="s">
        <v>87</v>
      </c>
      <c r="F311" s="59" t="s">
        <v>76</v>
      </c>
      <c r="G311" s="54" t="s">
        <v>28</v>
      </c>
      <c r="H311" s="54" t="s">
        <v>29</v>
      </c>
      <c r="I311" s="57" t="s">
        <v>30</v>
      </c>
      <c r="J311" s="46" t="s">
        <v>1184</v>
      </c>
      <c r="K311" s="11" t="s">
        <v>32</v>
      </c>
      <c r="L311" s="11" t="s">
        <v>32</v>
      </c>
      <c r="M311" s="89">
        <v>2000000000000</v>
      </c>
      <c r="N311" s="74" t="s">
        <v>1173</v>
      </c>
      <c r="O311" s="71" t="s">
        <v>77</v>
      </c>
      <c r="P311" s="79" t="s">
        <v>42</v>
      </c>
      <c r="Q311" s="79" t="s">
        <v>42</v>
      </c>
      <c r="R311" s="79" t="s">
        <v>42</v>
      </c>
      <c r="S311" s="9" t="str">
        <f t="shared" ref="S311:S316" si="4">HYPERLINK(CONCATENATE("https://www.analog.com/", A311, "/datasheet"))</f>
        <v>https://www.analog.com/DAC08S/datasheet</v>
      </c>
    </row>
    <row r="312" spans="1:19" x14ac:dyDescent="0.25">
      <c r="A312" s="61" t="s">
        <v>1169</v>
      </c>
      <c r="B312" s="87" t="s">
        <v>1170</v>
      </c>
      <c r="C312" s="61" t="s">
        <v>1185</v>
      </c>
      <c r="D312" s="61" t="s">
        <v>86</v>
      </c>
      <c r="E312" s="61" t="s">
        <v>87</v>
      </c>
      <c r="F312" s="10" t="s">
        <v>41</v>
      </c>
      <c r="G312" s="54" t="s">
        <v>28</v>
      </c>
      <c r="H312" s="11" t="s">
        <v>42</v>
      </c>
      <c r="I312" s="11" t="s">
        <v>42</v>
      </c>
      <c r="J312" s="11" t="s">
        <v>42</v>
      </c>
      <c r="K312" s="11" t="s">
        <v>42</v>
      </c>
      <c r="L312" s="11" t="s">
        <v>42</v>
      </c>
      <c r="M312" s="11" t="s">
        <v>42</v>
      </c>
      <c r="N312" s="73" t="s">
        <v>42</v>
      </c>
      <c r="O312" s="71" t="s">
        <v>297</v>
      </c>
      <c r="P312" s="88" t="s">
        <v>298</v>
      </c>
      <c r="Q312" s="71" t="s">
        <v>35</v>
      </c>
      <c r="R312" s="99" t="s">
        <v>1174</v>
      </c>
      <c r="S312" s="9" t="str">
        <f t="shared" si="4"/>
        <v>https://www.analog.com/DAC08S/datasheet</v>
      </c>
    </row>
    <row r="313" spans="1:19" x14ac:dyDescent="0.25">
      <c r="A313" s="61" t="s">
        <v>1169</v>
      </c>
      <c r="B313" s="87" t="s">
        <v>1170</v>
      </c>
      <c r="C313" s="61" t="s">
        <v>1186</v>
      </c>
      <c r="D313" s="61" t="s">
        <v>86</v>
      </c>
      <c r="E313" s="61" t="s">
        <v>87</v>
      </c>
      <c r="F313" s="10" t="s">
        <v>41</v>
      </c>
      <c r="G313" s="54" t="s">
        <v>28</v>
      </c>
      <c r="H313" s="11" t="s">
        <v>42</v>
      </c>
      <c r="I313" s="11" t="s">
        <v>42</v>
      </c>
      <c r="J313" s="11" t="s">
        <v>42</v>
      </c>
      <c r="K313" s="11" t="s">
        <v>42</v>
      </c>
      <c r="L313" s="11" t="s">
        <v>42</v>
      </c>
      <c r="M313" s="11" t="s">
        <v>42</v>
      </c>
      <c r="N313" s="73" t="s">
        <v>42</v>
      </c>
      <c r="O313" s="71" t="s">
        <v>58</v>
      </c>
      <c r="P313" s="88" t="s">
        <v>59</v>
      </c>
      <c r="Q313" s="71" t="s">
        <v>35</v>
      </c>
      <c r="R313" s="71" t="s">
        <v>320</v>
      </c>
      <c r="S313" s="9" t="str">
        <f t="shared" si="4"/>
        <v>https://www.analog.com/DAC08S/datasheet</v>
      </c>
    </row>
    <row r="314" spans="1:19" x14ac:dyDescent="0.25">
      <c r="A314" s="61" t="s">
        <v>1169</v>
      </c>
      <c r="B314" s="87" t="s">
        <v>1170</v>
      </c>
      <c r="C314" s="61" t="s">
        <v>1187</v>
      </c>
      <c r="D314" s="61" t="s">
        <v>86</v>
      </c>
      <c r="E314" s="61" t="s">
        <v>87</v>
      </c>
      <c r="F314" s="59" t="s">
        <v>76</v>
      </c>
      <c r="G314" s="54" t="s">
        <v>28</v>
      </c>
      <c r="H314" s="54" t="s">
        <v>56</v>
      </c>
      <c r="I314" s="57">
        <v>100</v>
      </c>
      <c r="J314" s="14" t="s">
        <v>1177</v>
      </c>
      <c r="K314" s="11" t="s">
        <v>32</v>
      </c>
      <c r="L314" s="11" t="s">
        <v>32</v>
      </c>
      <c r="M314" s="89">
        <v>2000000000000</v>
      </c>
      <c r="N314" s="74" t="s">
        <v>1173</v>
      </c>
      <c r="O314" s="71" t="s">
        <v>77</v>
      </c>
      <c r="P314" s="79" t="s">
        <v>42</v>
      </c>
      <c r="Q314" s="79" t="s">
        <v>42</v>
      </c>
      <c r="R314" s="79" t="s">
        <v>42</v>
      </c>
      <c r="S314" s="9" t="str">
        <f t="shared" si="4"/>
        <v>https://www.analog.com/DAC08S/datasheet</v>
      </c>
    </row>
    <row r="315" spans="1:19" x14ac:dyDescent="0.25">
      <c r="A315" s="61" t="s">
        <v>1169</v>
      </c>
      <c r="B315" s="87" t="s">
        <v>1170</v>
      </c>
      <c r="C315" s="61" t="s">
        <v>1188</v>
      </c>
      <c r="D315" s="61" t="s">
        <v>86</v>
      </c>
      <c r="E315" s="61" t="s">
        <v>87</v>
      </c>
      <c r="F315" s="59" t="s">
        <v>1189</v>
      </c>
      <c r="G315" s="54" t="s">
        <v>28</v>
      </c>
      <c r="H315" s="57" t="s">
        <v>29</v>
      </c>
      <c r="I315" s="57" t="s">
        <v>30</v>
      </c>
      <c r="J315" s="14" t="s">
        <v>1177</v>
      </c>
      <c r="K315" s="11" t="s">
        <v>32</v>
      </c>
      <c r="L315" s="11" t="s">
        <v>32</v>
      </c>
      <c r="M315" s="89">
        <v>2000000000000</v>
      </c>
      <c r="N315" s="74" t="s">
        <v>1173</v>
      </c>
      <c r="O315" s="102" t="s">
        <v>63</v>
      </c>
      <c r="P315" s="88" t="s">
        <v>34</v>
      </c>
      <c r="Q315" s="71" t="s">
        <v>35</v>
      </c>
      <c r="R315" s="71" t="s">
        <v>64</v>
      </c>
      <c r="S315" s="9" t="str">
        <f t="shared" si="4"/>
        <v>https://www.analog.com/DAC08S/datasheet</v>
      </c>
    </row>
    <row r="316" spans="1:19" x14ac:dyDescent="0.25">
      <c r="A316" s="59" t="s">
        <v>1190</v>
      </c>
      <c r="B316" s="87" t="s">
        <v>1191</v>
      </c>
      <c r="C316" s="59" t="s">
        <v>1192</v>
      </c>
      <c r="D316" s="61" t="s">
        <v>86</v>
      </c>
      <c r="E316" s="61" t="s">
        <v>87</v>
      </c>
      <c r="F316" s="59" t="s">
        <v>27</v>
      </c>
      <c r="G316" s="54" t="s">
        <v>28</v>
      </c>
      <c r="H316" s="54" t="s">
        <v>29</v>
      </c>
      <c r="I316" s="55" t="s">
        <v>30</v>
      </c>
      <c r="J316" s="59" t="s">
        <v>1193</v>
      </c>
      <c r="K316" s="11" t="s">
        <v>32</v>
      </c>
      <c r="L316" s="11" t="s">
        <v>32</v>
      </c>
      <c r="M316" s="11" t="s">
        <v>32</v>
      </c>
      <c r="N316" s="73" t="s">
        <v>32</v>
      </c>
      <c r="O316" s="71" t="s">
        <v>63</v>
      </c>
      <c r="P316" s="88" t="s">
        <v>59</v>
      </c>
      <c r="Q316" s="71" t="s">
        <v>35</v>
      </c>
      <c r="R316" s="71" t="s">
        <v>64</v>
      </c>
      <c r="S316" s="9" t="str">
        <f t="shared" si="4"/>
        <v>https://www.analog.com/DAC100S/datasheet</v>
      </c>
    </row>
    <row r="317" spans="1:19" x14ac:dyDescent="0.25">
      <c r="A317" s="61" t="s">
        <v>1194</v>
      </c>
      <c r="B317" s="87" t="s">
        <v>1195</v>
      </c>
      <c r="C317" s="61" t="s">
        <v>1196</v>
      </c>
      <c r="D317" s="61" t="s">
        <v>328</v>
      </c>
      <c r="E317" s="61" t="s">
        <v>699</v>
      </c>
      <c r="F317" s="61" t="s">
        <v>421</v>
      </c>
      <c r="G317" s="54" t="s">
        <v>446</v>
      </c>
      <c r="H317" s="54" t="s">
        <v>56</v>
      </c>
      <c r="I317" s="57">
        <v>30</v>
      </c>
      <c r="J317" s="17" t="s">
        <v>1197</v>
      </c>
      <c r="K317" s="57">
        <v>81.599999999999994</v>
      </c>
      <c r="L317" s="66" t="s">
        <v>1036</v>
      </c>
      <c r="M317" s="11" t="s">
        <v>32</v>
      </c>
      <c r="N317" s="73" t="s">
        <v>32</v>
      </c>
      <c r="O317" s="71" t="s">
        <v>913</v>
      </c>
      <c r="P317" s="87" t="s">
        <v>424</v>
      </c>
      <c r="Q317" s="71" t="s">
        <v>425</v>
      </c>
      <c r="R317" s="71" t="s">
        <v>914</v>
      </c>
      <c r="S317" s="21" t="s">
        <v>1198</v>
      </c>
    </row>
    <row r="318" spans="1:19" x14ac:dyDescent="0.25">
      <c r="A318" s="61" t="s">
        <v>1199</v>
      </c>
      <c r="B318" s="87" t="s">
        <v>1200</v>
      </c>
      <c r="C318" s="61" t="s">
        <v>1201</v>
      </c>
      <c r="D318" s="61" t="s">
        <v>1202</v>
      </c>
      <c r="E318" s="61" t="s">
        <v>1203</v>
      </c>
      <c r="F318" s="61" t="s">
        <v>421</v>
      </c>
      <c r="G318" s="54" t="s">
        <v>47</v>
      </c>
      <c r="H318" s="54" t="s">
        <v>56</v>
      </c>
      <c r="I318" s="55">
        <v>30</v>
      </c>
      <c r="J318" s="17" t="s">
        <v>1204</v>
      </c>
      <c r="K318" s="55">
        <v>40.799999999999997</v>
      </c>
      <c r="L318" s="57" t="s">
        <v>1036</v>
      </c>
      <c r="M318" s="11" t="s">
        <v>32</v>
      </c>
      <c r="N318" s="73" t="s">
        <v>32</v>
      </c>
      <c r="O318" s="71" t="s">
        <v>1205</v>
      </c>
      <c r="P318" s="87" t="s">
        <v>424</v>
      </c>
      <c r="Q318" s="71" t="s">
        <v>43</v>
      </c>
      <c r="R318" s="71" t="s">
        <v>1206</v>
      </c>
      <c r="S318" s="9" t="s">
        <v>1207</v>
      </c>
    </row>
    <row r="319" spans="1:19" x14ac:dyDescent="0.25">
      <c r="A319" s="61" t="s">
        <v>1208</v>
      </c>
      <c r="B319" s="87" t="s">
        <v>1209</v>
      </c>
      <c r="C319" s="61" t="s">
        <v>1210</v>
      </c>
      <c r="D319" s="61" t="s">
        <v>68</v>
      </c>
      <c r="E319" s="61" t="s">
        <v>1211</v>
      </c>
      <c r="F319" s="59" t="s">
        <v>76</v>
      </c>
      <c r="G319" s="54" t="s">
        <v>28</v>
      </c>
      <c r="H319" s="54" t="s">
        <v>29</v>
      </c>
      <c r="I319" s="55" t="s">
        <v>30</v>
      </c>
      <c r="J319" s="8" t="s">
        <v>1212</v>
      </c>
      <c r="K319" s="11" t="s">
        <v>32</v>
      </c>
      <c r="L319" s="11" t="s">
        <v>32</v>
      </c>
      <c r="M319" s="11" t="s">
        <v>32</v>
      </c>
      <c r="N319" s="73" t="s">
        <v>32</v>
      </c>
      <c r="O319" s="71" t="s">
        <v>77</v>
      </c>
      <c r="P319" s="79" t="s">
        <v>42</v>
      </c>
      <c r="Q319" s="79" t="s">
        <v>42</v>
      </c>
      <c r="R319" s="79" t="s">
        <v>42</v>
      </c>
      <c r="S319" s="9" t="str">
        <f>HYPERLINK(CONCATENATE("https://www.analog.com/", A319, "/datasheet"))</f>
        <v>https://www.analog.com/MAT02S/datasheet</v>
      </c>
    </row>
    <row r="320" spans="1:19" x14ac:dyDescent="0.25">
      <c r="A320" s="59" t="s">
        <v>1208</v>
      </c>
      <c r="B320" s="87" t="s">
        <v>1209</v>
      </c>
      <c r="C320" s="59" t="s">
        <v>1213</v>
      </c>
      <c r="D320" s="61" t="s">
        <v>68</v>
      </c>
      <c r="E320" s="61" t="s">
        <v>1211</v>
      </c>
      <c r="F320" s="59" t="s">
        <v>27</v>
      </c>
      <c r="G320" s="54" t="s">
        <v>28</v>
      </c>
      <c r="H320" s="54" t="s">
        <v>29</v>
      </c>
      <c r="I320" s="55" t="s">
        <v>30</v>
      </c>
      <c r="J320" s="8" t="s">
        <v>1212</v>
      </c>
      <c r="K320" s="11" t="s">
        <v>32</v>
      </c>
      <c r="L320" s="11" t="s">
        <v>32</v>
      </c>
      <c r="M320" s="11" t="s">
        <v>32</v>
      </c>
      <c r="N320" s="73" t="s">
        <v>32</v>
      </c>
      <c r="O320" s="71" t="s">
        <v>1214</v>
      </c>
      <c r="P320" s="88" t="s">
        <v>1215</v>
      </c>
      <c r="Q320" s="71" t="s">
        <v>35</v>
      </c>
      <c r="R320" s="71" t="s">
        <v>1216</v>
      </c>
      <c r="S320" s="9" t="str">
        <f>HYPERLINK(CONCATENATE("https://www.analog.com/", A320, "/datasheet"))</f>
        <v>https://www.analog.com/MAT02S/datasheet</v>
      </c>
    </row>
    <row r="321" spans="1:19" x14ac:dyDescent="0.25">
      <c r="A321" s="61" t="s">
        <v>1217</v>
      </c>
      <c r="B321" s="87" t="s">
        <v>1218</v>
      </c>
      <c r="C321" s="61" t="s">
        <v>1219</v>
      </c>
      <c r="D321" s="61" t="s">
        <v>53</v>
      </c>
      <c r="E321" s="61" t="s">
        <v>365</v>
      </c>
      <c r="F321" s="61" t="s">
        <v>55</v>
      </c>
      <c r="G321" s="54" t="s">
        <v>28</v>
      </c>
      <c r="H321" s="54" t="s">
        <v>56</v>
      </c>
      <c r="I321" s="57">
        <v>100</v>
      </c>
      <c r="J321" s="14" t="s">
        <v>1220</v>
      </c>
      <c r="K321" s="11" t="s">
        <v>32</v>
      </c>
      <c r="L321" s="11" t="s">
        <v>32</v>
      </c>
      <c r="M321" s="89">
        <v>2000000000000</v>
      </c>
      <c r="N321" s="74" t="s">
        <v>1221</v>
      </c>
      <c r="O321" s="71" t="s">
        <v>125</v>
      </c>
      <c r="P321" s="88" t="s">
        <v>126</v>
      </c>
      <c r="Q321" s="71" t="s">
        <v>35</v>
      </c>
      <c r="R321" s="71" t="s">
        <v>127</v>
      </c>
      <c r="S321" s="24" t="s">
        <v>1222</v>
      </c>
    </row>
    <row r="322" spans="1:19" x14ac:dyDescent="0.25">
      <c r="A322" s="61" t="s">
        <v>1217</v>
      </c>
      <c r="B322" s="87" t="s">
        <v>1218</v>
      </c>
      <c r="C322" s="61" t="s">
        <v>1223</v>
      </c>
      <c r="D322" s="61" t="s">
        <v>53</v>
      </c>
      <c r="E322" s="61" t="s">
        <v>365</v>
      </c>
      <c r="F322" s="61" t="s">
        <v>55</v>
      </c>
      <c r="G322" s="54" t="s">
        <v>28</v>
      </c>
      <c r="H322" s="54" t="s">
        <v>56</v>
      </c>
      <c r="I322" s="57">
        <v>100</v>
      </c>
      <c r="J322" s="14" t="s">
        <v>1220</v>
      </c>
      <c r="K322" s="11" t="s">
        <v>32</v>
      </c>
      <c r="L322" s="11" t="s">
        <v>32</v>
      </c>
      <c r="M322" s="89">
        <v>2000000000000</v>
      </c>
      <c r="N322" s="74" t="s">
        <v>1221</v>
      </c>
      <c r="O322" s="71" t="s">
        <v>217</v>
      </c>
      <c r="P322" s="88" t="s">
        <v>59</v>
      </c>
      <c r="Q322" s="71" t="s">
        <v>35</v>
      </c>
      <c r="R322" s="71" t="s">
        <v>218</v>
      </c>
      <c r="S322" s="24" t="s">
        <v>1222</v>
      </c>
    </row>
    <row r="323" spans="1:19" x14ac:dyDescent="0.25">
      <c r="A323" s="61" t="s">
        <v>1217</v>
      </c>
      <c r="B323" s="87" t="s">
        <v>1218</v>
      </c>
      <c r="C323" s="61" t="s">
        <v>1224</v>
      </c>
      <c r="D323" s="61" t="s">
        <v>53</v>
      </c>
      <c r="E323" s="61" t="s">
        <v>365</v>
      </c>
      <c r="F323" s="61" t="s">
        <v>55</v>
      </c>
      <c r="G323" s="54" t="s">
        <v>28</v>
      </c>
      <c r="H323" s="54" t="s">
        <v>56</v>
      </c>
      <c r="I323" s="57">
        <v>100</v>
      </c>
      <c r="J323" s="14" t="s">
        <v>1220</v>
      </c>
      <c r="K323" s="11" t="s">
        <v>32</v>
      </c>
      <c r="L323" s="11" t="s">
        <v>32</v>
      </c>
      <c r="M323" s="89">
        <v>2000000000000</v>
      </c>
      <c r="N323" s="74" t="s">
        <v>1221</v>
      </c>
      <c r="O323" s="71" t="s">
        <v>174</v>
      </c>
      <c r="P323" s="88" t="s">
        <v>59</v>
      </c>
      <c r="Q323" s="71" t="s">
        <v>35</v>
      </c>
      <c r="R323" s="71" t="s">
        <v>223</v>
      </c>
      <c r="S323" s="24" t="s">
        <v>1222</v>
      </c>
    </row>
    <row r="324" spans="1:19" x14ac:dyDescent="0.25">
      <c r="A324" s="61" t="s">
        <v>1217</v>
      </c>
      <c r="B324" s="87" t="s">
        <v>1218</v>
      </c>
      <c r="C324" s="61" t="s">
        <v>1225</v>
      </c>
      <c r="D324" s="61" t="s">
        <v>53</v>
      </c>
      <c r="E324" s="61" t="s">
        <v>365</v>
      </c>
      <c r="F324" s="59" t="s">
        <v>867</v>
      </c>
      <c r="G324" s="54" t="s">
        <v>28</v>
      </c>
      <c r="H324" s="11" t="s">
        <v>42</v>
      </c>
      <c r="I324" s="57" t="s">
        <v>30</v>
      </c>
      <c r="J324" s="14" t="s">
        <v>1220</v>
      </c>
      <c r="K324" s="11" t="s">
        <v>32</v>
      </c>
      <c r="L324" s="11" t="s">
        <v>32</v>
      </c>
      <c r="M324" s="89">
        <v>2000000000000</v>
      </c>
      <c r="N324" s="74" t="s">
        <v>1221</v>
      </c>
      <c r="O324" s="71" t="s">
        <v>125</v>
      </c>
      <c r="P324" s="88" t="s">
        <v>126</v>
      </c>
      <c r="Q324" s="71" t="s">
        <v>35</v>
      </c>
      <c r="R324" s="71" t="s">
        <v>1226</v>
      </c>
      <c r="S324" s="9" t="str">
        <f>HYPERLINK(CONCATENATE("https://www.analog.com/", A324, "/datasheet"))</f>
        <v>https://www.analog.com/OP07S/datasheet</v>
      </c>
    </row>
    <row r="325" spans="1:19" x14ac:dyDescent="0.25">
      <c r="A325" s="61" t="s">
        <v>1217</v>
      </c>
      <c r="B325" s="87" t="s">
        <v>1218</v>
      </c>
      <c r="C325" s="61" t="s">
        <v>1227</v>
      </c>
      <c r="D325" s="61" t="s">
        <v>53</v>
      </c>
      <c r="E325" s="61" t="s">
        <v>365</v>
      </c>
      <c r="F325" s="59" t="s">
        <v>867</v>
      </c>
      <c r="G325" s="54" t="s">
        <v>28</v>
      </c>
      <c r="H325" s="11" t="s">
        <v>42</v>
      </c>
      <c r="I325" s="57" t="s">
        <v>30</v>
      </c>
      <c r="J325" s="14" t="s">
        <v>1220</v>
      </c>
      <c r="K325" s="11" t="s">
        <v>32</v>
      </c>
      <c r="L325" s="11" t="s">
        <v>32</v>
      </c>
      <c r="M325" s="89">
        <v>2000000000000</v>
      </c>
      <c r="N325" s="74" t="s">
        <v>1221</v>
      </c>
      <c r="O325" s="71" t="s">
        <v>174</v>
      </c>
      <c r="P325" s="88" t="s">
        <v>59</v>
      </c>
      <c r="Q325" s="71" t="s">
        <v>35</v>
      </c>
      <c r="R325" s="71" t="s">
        <v>223</v>
      </c>
      <c r="S325" s="9" t="str">
        <f>HYPERLINK(CONCATENATE("https://www.analog.com/", A325, "/datasheet"))</f>
        <v>https://www.analog.com/OP07S/datasheet</v>
      </c>
    </row>
    <row r="326" spans="1:19" x14ac:dyDescent="0.25">
      <c r="A326" s="61" t="s">
        <v>1217</v>
      </c>
      <c r="B326" s="87" t="s">
        <v>1218</v>
      </c>
      <c r="C326" s="61" t="s">
        <v>1228</v>
      </c>
      <c r="D326" s="61" t="s">
        <v>53</v>
      </c>
      <c r="E326" s="61" t="s">
        <v>365</v>
      </c>
      <c r="F326" s="59" t="s">
        <v>867</v>
      </c>
      <c r="G326" s="54" t="s">
        <v>28</v>
      </c>
      <c r="H326" s="11" t="s">
        <v>42</v>
      </c>
      <c r="I326" s="57" t="s">
        <v>30</v>
      </c>
      <c r="J326" s="14" t="s">
        <v>1220</v>
      </c>
      <c r="K326" s="11" t="s">
        <v>32</v>
      </c>
      <c r="L326" s="11" t="s">
        <v>32</v>
      </c>
      <c r="M326" s="89">
        <v>2000000000000</v>
      </c>
      <c r="N326" s="74" t="s">
        <v>1221</v>
      </c>
      <c r="O326" s="71" t="s">
        <v>125</v>
      </c>
      <c r="P326" s="88" t="s">
        <v>126</v>
      </c>
      <c r="Q326" s="71" t="s">
        <v>35</v>
      </c>
      <c r="R326" s="71" t="s">
        <v>1226</v>
      </c>
      <c r="S326" s="9" t="str">
        <f>HYPERLINK(CONCATENATE("https://www.analog.com/", A326, "/datasheet"))</f>
        <v>https://www.analog.com/OP07S/datasheet</v>
      </c>
    </row>
    <row r="327" spans="1:19" x14ac:dyDescent="0.25">
      <c r="A327" s="61" t="s">
        <v>1217</v>
      </c>
      <c r="B327" s="87" t="s">
        <v>1218</v>
      </c>
      <c r="C327" s="61" t="s">
        <v>1229</v>
      </c>
      <c r="D327" s="61" t="s">
        <v>53</v>
      </c>
      <c r="E327" s="61" t="s">
        <v>365</v>
      </c>
      <c r="F327" s="59" t="s">
        <v>76</v>
      </c>
      <c r="G327" s="54" t="s">
        <v>28</v>
      </c>
      <c r="H327" s="54" t="s">
        <v>29</v>
      </c>
      <c r="I327" s="55" t="s">
        <v>30</v>
      </c>
      <c r="J327" s="46" t="s">
        <v>1230</v>
      </c>
      <c r="K327" s="11" t="s">
        <v>32</v>
      </c>
      <c r="L327" s="11" t="s">
        <v>32</v>
      </c>
      <c r="M327" s="89">
        <v>2000000000002</v>
      </c>
      <c r="N327" s="74" t="s">
        <v>1221</v>
      </c>
      <c r="O327" s="71" t="s">
        <v>77</v>
      </c>
      <c r="P327" s="79" t="s">
        <v>42</v>
      </c>
      <c r="Q327" s="79" t="s">
        <v>42</v>
      </c>
      <c r="R327" s="79" t="s">
        <v>42</v>
      </c>
      <c r="S327" s="9" t="str">
        <f>HYPERLINK(CONCATENATE("https://www.analog.com/", A327, "/datasheet"))</f>
        <v>https://www.analog.com/OP07S/datasheet</v>
      </c>
    </row>
    <row r="328" spans="1:19" x14ac:dyDescent="0.25">
      <c r="A328" s="61" t="s">
        <v>1217</v>
      </c>
      <c r="B328" s="87" t="s">
        <v>1218</v>
      </c>
      <c r="C328" s="61" t="s">
        <v>1231</v>
      </c>
      <c r="D328" s="61" t="s">
        <v>53</v>
      </c>
      <c r="E328" s="61" t="s">
        <v>365</v>
      </c>
      <c r="F328" s="59" t="s">
        <v>76</v>
      </c>
      <c r="G328" s="54" t="s">
        <v>28</v>
      </c>
      <c r="H328" s="54" t="s">
        <v>56</v>
      </c>
      <c r="I328" s="57">
        <v>100</v>
      </c>
      <c r="J328" s="14" t="s">
        <v>1220</v>
      </c>
      <c r="K328" s="11" t="s">
        <v>32</v>
      </c>
      <c r="L328" s="11" t="s">
        <v>32</v>
      </c>
      <c r="M328" s="89">
        <v>2000000000001</v>
      </c>
      <c r="N328" s="74" t="s">
        <v>1221</v>
      </c>
      <c r="O328" s="71" t="s">
        <v>77</v>
      </c>
      <c r="P328" s="79" t="s">
        <v>42</v>
      </c>
      <c r="Q328" s="79" t="s">
        <v>42</v>
      </c>
      <c r="R328" s="79" t="s">
        <v>42</v>
      </c>
      <c r="S328" s="9" t="str">
        <f>HYPERLINK(CONCATENATE("https://www.analog.com/", A328, "/datasheet"))</f>
        <v>https://www.analog.com/OP07S/datasheet</v>
      </c>
    </row>
    <row r="329" spans="1:19" x14ac:dyDescent="0.25">
      <c r="A329" s="61" t="s">
        <v>1232</v>
      </c>
      <c r="B329" s="87" t="s">
        <v>1233</v>
      </c>
      <c r="C329" s="61" t="s">
        <v>1234</v>
      </c>
      <c r="D329" s="61" t="s">
        <v>53</v>
      </c>
      <c r="E329" s="61" t="s">
        <v>365</v>
      </c>
      <c r="F329" s="61" t="s">
        <v>55</v>
      </c>
      <c r="G329" s="54" t="s">
        <v>28</v>
      </c>
      <c r="H329" s="54" t="s">
        <v>29</v>
      </c>
      <c r="I329" s="55" t="s">
        <v>30</v>
      </c>
      <c r="J329" s="46" t="s">
        <v>1235</v>
      </c>
      <c r="K329" s="11" t="s">
        <v>32</v>
      </c>
      <c r="L329" s="11" t="s">
        <v>32</v>
      </c>
      <c r="M329" s="11" t="s">
        <v>32</v>
      </c>
      <c r="N329" s="73" t="s">
        <v>32</v>
      </c>
      <c r="O329" s="71" t="s">
        <v>253</v>
      </c>
      <c r="P329" s="88" t="s">
        <v>59</v>
      </c>
      <c r="Q329" s="71" t="s">
        <v>35</v>
      </c>
      <c r="R329" s="71" t="s">
        <v>140</v>
      </c>
      <c r="S329" s="24" t="s">
        <v>1236</v>
      </c>
    </row>
    <row r="330" spans="1:19" x14ac:dyDescent="0.25">
      <c r="A330" s="61" t="s">
        <v>1232</v>
      </c>
      <c r="B330" s="87" t="s">
        <v>1233</v>
      </c>
      <c r="C330" s="61" t="s">
        <v>1237</v>
      </c>
      <c r="D330" s="61" t="s">
        <v>53</v>
      </c>
      <c r="E330" s="61" t="s">
        <v>365</v>
      </c>
      <c r="F330" s="59" t="s">
        <v>76</v>
      </c>
      <c r="G330" s="54" t="s">
        <v>28</v>
      </c>
      <c r="H330" s="54" t="s">
        <v>29</v>
      </c>
      <c r="I330" s="55" t="s">
        <v>30</v>
      </c>
      <c r="J330" s="46" t="s">
        <v>1235</v>
      </c>
      <c r="K330" s="11" t="s">
        <v>32</v>
      </c>
      <c r="L330" s="11" t="s">
        <v>32</v>
      </c>
      <c r="M330" s="11" t="s">
        <v>32</v>
      </c>
      <c r="N330" s="73" t="s">
        <v>32</v>
      </c>
      <c r="O330" s="71" t="s">
        <v>77</v>
      </c>
      <c r="P330" s="79" t="s">
        <v>42</v>
      </c>
      <c r="Q330" s="79" t="s">
        <v>42</v>
      </c>
      <c r="R330" s="79" t="s">
        <v>42</v>
      </c>
      <c r="S330" s="9" t="str">
        <f>HYPERLINK(CONCATENATE("https://www.analog.com/", A330, "/datasheet"))</f>
        <v>https://www.analog.com/OP11S/datasheet</v>
      </c>
    </row>
    <row r="331" spans="1:19" x14ac:dyDescent="0.25">
      <c r="A331" s="61" t="s">
        <v>1238</v>
      </c>
      <c r="B331" s="87" t="s">
        <v>1239</v>
      </c>
      <c r="C331" s="61" t="s">
        <v>1240</v>
      </c>
      <c r="D331" s="61" t="s">
        <v>53</v>
      </c>
      <c r="E331" s="61" t="s">
        <v>170</v>
      </c>
      <c r="F331" s="61" t="s">
        <v>55</v>
      </c>
      <c r="G331" s="54" t="s">
        <v>28</v>
      </c>
      <c r="H331" s="54" t="s">
        <v>56</v>
      </c>
      <c r="I331" s="57">
        <v>100</v>
      </c>
      <c r="J331" s="14" t="s">
        <v>1241</v>
      </c>
      <c r="K331" s="11" t="s">
        <v>32</v>
      </c>
      <c r="L331" s="11" t="s">
        <v>32</v>
      </c>
      <c r="M331" s="11" t="s">
        <v>32</v>
      </c>
      <c r="N331" s="73" t="s">
        <v>32</v>
      </c>
      <c r="O331" s="71" t="s">
        <v>125</v>
      </c>
      <c r="P331" s="88" t="s">
        <v>126</v>
      </c>
      <c r="Q331" s="71" t="s">
        <v>35</v>
      </c>
      <c r="R331" s="71" t="s">
        <v>127</v>
      </c>
      <c r="S331" s="24" t="s">
        <v>1242</v>
      </c>
    </row>
    <row r="332" spans="1:19" x14ac:dyDescent="0.25">
      <c r="A332" s="61" t="s">
        <v>1238</v>
      </c>
      <c r="B332" s="87" t="s">
        <v>1239</v>
      </c>
      <c r="C332" s="61" t="s">
        <v>1243</v>
      </c>
      <c r="D332" s="61" t="s">
        <v>53</v>
      </c>
      <c r="E332" s="61" t="s">
        <v>170</v>
      </c>
      <c r="F332" s="61" t="s">
        <v>55</v>
      </c>
      <c r="G332" s="54" t="s">
        <v>28</v>
      </c>
      <c r="H332" s="54" t="s">
        <v>56</v>
      </c>
      <c r="I332" s="57">
        <v>100</v>
      </c>
      <c r="J332" s="14" t="s">
        <v>1241</v>
      </c>
      <c r="K332" s="11" t="s">
        <v>32</v>
      </c>
      <c r="L332" s="11" t="s">
        <v>32</v>
      </c>
      <c r="M332" s="11" t="s">
        <v>32</v>
      </c>
      <c r="N332" s="73" t="s">
        <v>32</v>
      </c>
      <c r="O332" s="71" t="s">
        <v>217</v>
      </c>
      <c r="P332" s="88" t="s">
        <v>59</v>
      </c>
      <c r="Q332" s="71" t="s">
        <v>35</v>
      </c>
      <c r="R332" s="71" t="s">
        <v>218</v>
      </c>
      <c r="S332" s="24" t="s">
        <v>1242</v>
      </c>
    </row>
    <row r="333" spans="1:19" x14ac:dyDescent="0.25">
      <c r="A333" s="61" t="s">
        <v>1238</v>
      </c>
      <c r="B333" s="87" t="s">
        <v>1239</v>
      </c>
      <c r="C333" s="61" t="s">
        <v>1244</v>
      </c>
      <c r="D333" s="61" t="s">
        <v>53</v>
      </c>
      <c r="E333" s="61" t="s">
        <v>170</v>
      </c>
      <c r="F333" s="61" t="s">
        <v>55</v>
      </c>
      <c r="G333" s="54" t="s">
        <v>28</v>
      </c>
      <c r="H333" s="54" t="s">
        <v>56</v>
      </c>
      <c r="I333" s="57">
        <v>100</v>
      </c>
      <c r="J333" s="14" t="s">
        <v>1241</v>
      </c>
      <c r="K333" s="11" t="s">
        <v>32</v>
      </c>
      <c r="L333" s="11" t="s">
        <v>32</v>
      </c>
      <c r="M333" s="11" t="s">
        <v>32</v>
      </c>
      <c r="N333" s="73" t="s">
        <v>32</v>
      </c>
      <c r="O333" s="71" t="s">
        <v>174</v>
      </c>
      <c r="P333" s="88" t="s">
        <v>59</v>
      </c>
      <c r="Q333" s="71" t="s">
        <v>35</v>
      </c>
      <c r="R333" s="71" t="s">
        <v>223</v>
      </c>
      <c r="S333" s="24" t="s">
        <v>1242</v>
      </c>
    </row>
    <row r="334" spans="1:19" x14ac:dyDescent="0.25">
      <c r="A334" s="61" t="s">
        <v>1245</v>
      </c>
      <c r="B334" s="87" t="s">
        <v>1239</v>
      </c>
      <c r="C334" s="61" t="s">
        <v>1246</v>
      </c>
      <c r="D334" s="61" t="s">
        <v>53</v>
      </c>
      <c r="E334" s="61" t="s">
        <v>170</v>
      </c>
      <c r="F334" s="61" t="s">
        <v>55</v>
      </c>
      <c r="G334" s="54" t="s">
        <v>28</v>
      </c>
      <c r="H334" s="54" t="s">
        <v>56</v>
      </c>
      <c r="I334" s="57">
        <v>100</v>
      </c>
      <c r="J334" s="14" t="s">
        <v>1247</v>
      </c>
      <c r="K334" s="11" t="s">
        <v>32</v>
      </c>
      <c r="L334" s="11" t="s">
        <v>32</v>
      </c>
      <c r="M334" s="11" t="s">
        <v>32</v>
      </c>
      <c r="N334" s="73" t="s">
        <v>32</v>
      </c>
      <c r="O334" s="71" t="s">
        <v>125</v>
      </c>
      <c r="P334" s="88" t="s">
        <v>126</v>
      </c>
      <c r="Q334" s="71" t="s">
        <v>35</v>
      </c>
      <c r="R334" s="71" t="s">
        <v>127</v>
      </c>
      <c r="S334" s="24" t="s">
        <v>1248</v>
      </c>
    </row>
    <row r="335" spans="1:19" x14ac:dyDescent="0.25">
      <c r="A335" s="61" t="s">
        <v>1249</v>
      </c>
      <c r="B335" s="87" t="s">
        <v>1250</v>
      </c>
      <c r="C335" s="61" t="s">
        <v>1251</v>
      </c>
      <c r="D335" s="61" t="s">
        <v>53</v>
      </c>
      <c r="E335" s="61" t="s">
        <v>365</v>
      </c>
      <c r="F335" s="61" t="s">
        <v>55</v>
      </c>
      <c r="G335" s="54" t="s">
        <v>28</v>
      </c>
      <c r="H335" s="54" t="s">
        <v>29</v>
      </c>
      <c r="I335" s="11" t="s">
        <v>32</v>
      </c>
      <c r="J335" s="11" t="s">
        <v>32</v>
      </c>
      <c r="K335" s="11" t="s">
        <v>32</v>
      </c>
      <c r="L335" s="11" t="s">
        <v>32</v>
      </c>
      <c r="M335" s="11" t="s">
        <v>32</v>
      </c>
      <c r="N335" s="73" t="s">
        <v>32</v>
      </c>
      <c r="O335" s="71" t="s">
        <v>58</v>
      </c>
      <c r="P335" s="88" t="s">
        <v>59</v>
      </c>
      <c r="Q335" s="71" t="s">
        <v>35</v>
      </c>
      <c r="R335" s="71" t="s">
        <v>320</v>
      </c>
      <c r="S335" s="24" t="s">
        <v>1252</v>
      </c>
    </row>
    <row r="336" spans="1:19" x14ac:dyDescent="0.25">
      <c r="A336" s="61" t="s">
        <v>1249</v>
      </c>
      <c r="B336" s="87" t="s">
        <v>1250</v>
      </c>
      <c r="C336" s="61" t="s">
        <v>1253</v>
      </c>
      <c r="D336" s="61" t="s">
        <v>53</v>
      </c>
      <c r="E336" s="61" t="s">
        <v>365</v>
      </c>
      <c r="F336" s="61" t="s">
        <v>55</v>
      </c>
      <c r="G336" s="54" t="s">
        <v>28</v>
      </c>
      <c r="H336" s="54" t="s">
        <v>29</v>
      </c>
      <c r="I336" s="11" t="s">
        <v>32</v>
      </c>
      <c r="J336" s="11" t="s">
        <v>32</v>
      </c>
      <c r="K336" s="11" t="s">
        <v>32</v>
      </c>
      <c r="L336" s="11" t="s">
        <v>32</v>
      </c>
      <c r="M336" s="11" t="s">
        <v>32</v>
      </c>
      <c r="N336" s="73" t="s">
        <v>32</v>
      </c>
      <c r="O336" s="71" t="s">
        <v>174</v>
      </c>
      <c r="P336" s="88" t="s">
        <v>59</v>
      </c>
      <c r="Q336" s="71" t="s">
        <v>35</v>
      </c>
      <c r="R336" s="71" t="s">
        <v>223</v>
      </c>
      <c r="S336" s="24" t="s">
        <v>1252</v>
      </c>
    </row>
    <row r="337" spans="1:19" x14ac:dyDescent="0.25">
      <c r="A337" s="61" t="s">
        <v>1254</v>
      </c>
      <c r="B337" s="87" t="s">
        <v>1255</v>
      </c>
      <c r="C337" s="61" t="s">
        <v>1256</v>
      </c>
      <c r="D337" s="61" t="s">
        <v>53</v>
      </c>
      <c r="E337" s="61" t="s">
        <v>170</v>
      </c>
      <c r="F337" s="61" t="s">
        <v>55</v>
      </c>
      <c r="G337" s="54" t="s">
        <v>28</v>
      </c>
      <c r="H337" s="54" t="s">
        <v>56</v>
      </c>
      <c r="I337" s="57">
        <v>100</v>
      </c>
      <c r="J337" s="14" t="s">
        <v>1257</v>
      </c>
      <c r="K337" s="11" t="s">
        <v>32</v>
      </c>
      <c r="L337" s="11" t="s">
        <v>32</v>
      </c>
      <c r="M337" s="89">
        <v>2000000000000</v>
      </c>
      <c r="N337" s="74" t="s">
        <v>1258</v>
      </c>
      <c r="O337" s="71" t="s">
        <v>125</v>
      </c>
      <c r="P337" s="88" t="s">
        <v>126</v>
      </c>
      <c r="Q337" s="71" t="s">
        <v>35</v>
      </c>
      <c r="R337" s="71" t="s">
        <v>127</v>
      </c>
      <c r="S337" s="24" t="s">
        <v>1259</v>
      </c>
    </row>
    <row r="338" spans="1:19" x14ac:dyDescent="0.25">
      <c r="A338" s="61" t="s">
        <v>1254</v>
      </c>
      <c r="B338" s="87" t="s">
        <v>1255</v>
      </c>
      <c r="C338" s="61" t="s">
        <v>1260</v>
      </c>
      <c r="D338" s="61" t="s">
        <v>53</v>
      </c>
      <c r="E338" s="61" t="s">
        <v>170</v>
      </c>
      <c r="F338" s="61" t="s">
        <v>55</v>
      </c>
      <c r="G338" s="54" t="s">
        <v>28</v>
      </c>
      <c r="H338" s="54" t="s">
        <v>56</v>
      </c>
      <c r="I338" s="57">
        <v>100</v>
      </c>
      <c r="J338" s="14" t="s">
        <v>1257</v>
      </c>
      <c r="K338" s="11" t="s">
        <v>32</v>
      </c>
      <c r="L338" s="11" t="s">
        <v>32</v>
      </c>
      <c r="M338" s="89">
        <v>2000000000000</v>
      </c>
      <c r="N338" s="74" t="s">
        <v>1258</v>
      </c>
      <c r="O338" s="71" t="s">
        <v>174</v>
      </c>
      <c r="P338" s="88" t="s">
        <v>59</v>
      </c>
      <c r="Q338" s="71" t="s">
        <v>35</v>
      </c>
      <c r="R338" s="71" t="s">
        <v>223</v>
      </c>
      <c r="S338" s="24" t="s">
        <v>1259</v>
      </c>
    </row>
    <row r="339" spans="1:19" x14ac:dyDescent="0.25">
      <c r="A339" s="61" t="s">
        <v>1261</v>
      </c>
      <c r="B339" s="87" t="s">
        <v>1262</v>
      </c>
      <c r="C339" s="61" t="s">
        <v>1263</v>
      </c>
      <c r="D339" s="61" t="s">
        <v>53</v>
      </c>
      <c r="E339" s="61" t="s">
        <v>506</v>
      </c>
      <c r="F339" s="59" t="s">
        <v>27</v>
      </c>
      <c r="G339" s="54" t="s">
        <v>28</v>
      </c>
      <c r="H339" s="54" t="s">
        <v>56</v>
      </c>
      <c r="I339" s="57">
        <v>100</v>
      </c>
      <c r="J339" s="14" t="s">
        <v>1264</v>
      </c>
      <c r="K339" s="11" t="s">
        <v>32</v>
      </c>
      <c r="L339" s="11" t="s">
        <v>32</v>
      </c>
      <c r="M339" s="11" t="s">
        <v>32</v>
      </c>
      <c r="N339" s="73" t="s">
        <v>32</v>
      </c>
      <c r="O339" s="71" t="s">
        <v>253</v>
      </c>
      <c r="P339" s="88" t="s">
        <v>59</v>
      </c>
      <c r="Q339" s="71" t="s">
        <v>35</v>
      </c>
      <c r="R339" s="71" t="s">
        <v>140</v>
      </c>
      <c r="S339" s="9" t="str">
        <f>HYPERLINK(CONCATENATE("https://www.analog.com/", A339, "/datasheet"))</f>
        <v>https://www.analog.com/OP227S/datasheet</v>
      </c>
    </row>
    <row r="340" spans="1:19" x14ac:dyDescent="0.25">
      <c r="A340" s="61" t="s">
        <v>1261</v>
      </c>
      <c r="B340" s="87" t="s">
        <v>1262</v>
      </c>
      <c r="C340" s="61" t="s">
        <v>1265</v>
      </c>
      <c r="D340" s="61" t="s">
        <v>53</v>
      </c>
      <c r="E340" s="61" t="s">
        <v>506</v>
      </c>
      <c r="F340" s="59" t="s">
        <v>27</v>
      </c>
      <c r="G340" s="54" t="s">
        <v>28</v>
      </c>
      <c r="H340" s="54" t="s">
        <v>56</v>
      </c>
      <c r="I340" s="57">
        <v>100</v>
      </c>
      <c r="J340" s="14" t="s">
        <v>1264</v>
      </c>
      <c r="K340" s="11" t="s">
        <v>32</v>
      </c>
      <c r="L340" s="11" t="s">
        <v>32</v>
      </c>
      <c r="M340" s="11" t="s">
        <v>32</v>
      </c>
      <c r="N340" s="73" t="s">
        <v>32</v>
      </c>
      <c r="O340" s="71" t="s">
        <v>72</v>
      </c>
      <c r="P340" s="88" t="s">
        <v>59</v>
      </c>
      <c r="Q340" s="71" t="s">
        <v>35</v>
      </c>
      <c r="R340" s="71" t="s">
        <v>73</v>
      </c>
      <c r="S340" s="9" t="str">
        <f>HYPERLINK(CONCATENATE("https://www.analog.com/", A340, "/datasheet"))</f>
        <v>https://www.analog.com/OP227S/datasheet</v>
      </c>
    </row>
    <row r="341" spans="1:19" x14ac:dyDescent="0.25">
      <c r="A341" s="61" t="s">
        <v>1266</v>
      </c>
      <c r="B341" s="87" t="s">
        <v>1267</v>
      </c>
      <c r="C341" s="61" t="s">
        <v>1268</v>
      </c>
      <c r="D341" s="61" t="s">
        <v>53</v>
      </c>
      <c r="E341" s="61" t="s">
        <v>365</v>
      </c>
      <c r="F341" s="61" t="s">
        <v>55</v>
      </c>
      <c r="G341" s="54" t="s">
        <v>28</v>
      </c>
      <c r="H341" s="54" t="s">
        <v>29</v>
      </c>
      <c r="I341" s="57" t="s">
        <v>30</v>
      </c>
      <c r="J341" s="14" t="s">
        <v>1269</v>
      </c>
      <c r="K341" s="11" t="s">
        <v>32</v>
      </c>
      <c r="L341" s="11" t="s">
        <v>32</v>
      </c>
      <c r="M341" s="89">
        <v>2000000000000</v>
      </c>
      <c r="N341" s="74" t="s">
        <v>1270</v>
      </c>
      <c r="O341" s="71" t="s">
        <v>174</v>
      </c>
      <c r="P341" s="88" t="s">
        <v>59</v>
      </c>
      <c r="Q341" s="71" t="s">
        <v>35</v>
      </c>
      <c r="R341" s="71" t="s">
        <v>223</v>
      </c>
      <c r="S341" s="24" t="s">
        <v>1271</v>
      </c>
    </row>
    <row r="342" spans="1:19" x14ac:dyDescent="0.25">
      <c r="A342" s="61" t="s">
        <v>1266</v>
      </c>
      <c r="B342" s="87" t="s">
        <v>1267</v>
      </c>
      <c r="C342" s="61" t="s">
        <v>1272</v>
      </c>
      <c r="D342" s="61" t="s">
        <v>53</v>
      </c>
      <c r="E342" s="61" t="s">
        <v>365</v>
      </c>
      <c r="F342" s="61" t="s">
        <v>55</v>
      </c>
      <c r="G342" s="54" t="s">
        <v>28</v>
      </c>
      <c r="H342" s="54" t="s">
        <v>56</v>
      </c>
      <c r="I342" s="57">
        <v>50</v>
      </c>
      <c r="J342" s="14" t="s">
        <v>1273</v>
      </c>
      <c r="K342" s="11" t="s">
        <v>32</v>
      </c>
      <c r="L342" s="11" t="s">
        <v>32</v>
      </c>
      <c r="M342" s="89">
        <v>2000000000000</v>
      </c>
      <c r="N342" s="74" t="s">
        <v>1270</v>
      </c>
      <c r="O342" s="71" t="s">
        <v>253</v>
      </c>
      <c r="P342" s="88" t="s">
        <v>59</v>
      </c>
      <c r="Q342" s="71" t="s">
        <v>35</v>
      </c>
      <c r="R342" s="71" t="s">
        <v>254</v>
      </c>
      <c r="S342" s="9" t="s">
        <v>1271</v>
      </c>
    </row>
    <row r="343" spans="1:19" x14ac:dyDescent="0.25">
      <c r="A343" s="61" t="s">
        <v>1266</v>
      </c>
      <c r="B343" s="87" t="s">
        <v>1267</v>
      </c>
      <c r="C343" s="61" t="s">
        <v>1274</v>
      </c>
      <c r="D343" s="61" t="s">
        <v>53</v>
      </c>
      <c r="E343" s="61" t="s">
        <v>365</v>
      </c>
      <c r="F343" s="61" t="s">
        <v>55</v>
      </c>
      <c r="G343" s="54" t="s">
        <v>28</v>
      </c>
      <c r="H343" s="54" t="s">
        <v>56</v>
      </c>
      <c r="I343" s="57">
        <v>100</v>
      </c>
      <c r="J343" s="14" t="s">
        <v>1269</v>
      </c>
      <c r="K343" s="11" t="s">
        <v>32</v>
      </c>
      <c r="L343" s="11" t="s">
        <v>32</v>
      </c>
      <c r="M343" s="89">
        <v>2000000000000</v>
      </c>
      <c r="N343" s="74" t="s">
        <v>1270</v>
      </c>
      <c r="O343" s="71" t="s">
        <v>58</v>
      </c>
      <c r="P343" s="88" t="s">
        <v>59</v>
      </c>
      <c r="Q343" s="71" t="s">
        <v>35</v>
      </c>
      <c r="R343" s="71" t="s">
        <v>320</v>
      </c>
      <c r="S343" s="24" t="s">
        <v>1271</v>
      </c>
    </row>
    <row r="344" spans="1:19" x14ac:dyDescent="0.25">
      <c r="A344" s="61" t="s">
        <v>1266</v>
      </c>
      <c r="B344" s="87" t="s">
        <v>1267</v>
      </c>
      <c r="C344" s="61" t="s">
        <v>1275</v>
      </c>
      <c r="D344" s="61" t="s">
        <v>53</v>
      </c>
      <c r="E344" s="61" t="s">
        <v>365</v>
      </c>
      <c r="F344" s="61" t="s">
        <v>55</v>
      </c>
      <c r="G344" s="54" t="s">
        <v>28</v>
      </c>
      <c r="H344" s="54" t="s">
        <v>56</v>
      </c>
      <c r="I344" s="57">
        <v>100</v>
      </c>
      <c r="J344" s="14" t="s">
        <v>1269</v>
      </c>
      <c r="K344" s="11" t="s">
        <v>32</v>
      </c>
      <c r="L344" s="11" t="s">
        <v>32</v>
      </c>
      <c r="M344" s="89">
        <v>2000000000000</v>
      </c>
      <c r="N344" s="74" t="s">
        <v>1270</v>
      </c>
      <c r="O344" s="71" t="s">
        <v>253</v>
      </c>
      <c r="P344" s="88" t="s">
        <v>59</v>
      </c>
      <c r="Q344" s="71" t="s">
        <v>35</v>
      </c>
      <c r="R344" s="71" t="s">
        <v>254</v>
      </c>
      <c r="S344" s="24" t="s">
        <v>1271</v>
      </c>
    </row>
    <row r="345" spans="1:19" x14ac:dyDescent="0.25">
      <c r="A345" s="61" t="s">
        <v>1266</v>
      </c>
      <c r="B345" s="87" t="s">
        <v>1267</v>
      </c>
      <c r="C345" s="61" t="s">
        <v>1276</v>
      </c>
      <c r="D345" s="61" t="s">
        <v>53</v>
      </c>
      <c r="E345" s="61" t="s">
        <v>365</v>
      </c>
      <c r="F345" s="61" t="s">
        <v>55</v>
      </c>
      <c r="G345" s="54" t="s">
        <v>28</v>
      </c>
      <c r="H345" s="54" t="s">
        <v>56</v>
      </c>
      <c r="I345" s="57">
        <v>100</v>
      </c>
      <c r="J345" s="14" t="s">
        <v>1269</v>
      </c>
      <c r="K345" s="11" t="s">
        <v>32</v>
      </c>
      <c r="L345" s="11" t="s">
        <v>32</v>
      </c>
      <c r="M345" s="89">
        <v>2000000000000</v>
      </c>
      <c r="N345" s="74" t="s">
        <v>1270</v>
      </c>
      <c r="O345" s="71" t="s">
        <v>174</v>
      </c>
      <c r="P345" s="88" t="s">
        <v>59</v>
      </c>
      <c r="Q345" s="71" t="s">
        <v>35</v>
      </c>
      <c r="R345" s="71" t="s">
        <v>223</v>
      </c>
      <c r="S345" s="24" t="s">
        <v>1271</v>
      </c>
    </row>
    <row r="346" spans="1:19" x14ac:dyDescent="0.25">
      <c r="A346" s="61" t="s">
        <v>1277</v>
      </c>
      <c r="B346" s="87" t="s">
        <v>1278</v>
      </c>
      <c r="C346" s="61" t="s">
        <v>1279</v>
      </c>
      <c r="D346" s="61" t="s">
        <v>53</v>
      </c>
      <c r="E346" s="61" t="s">
        <v>365</v>
      </c>
      <c r="F346" s="61" t="s">
        <v>55</v>
      </c>
      <c r="G346" s="54" t="s">
        <v>28</v>
      </c>
      <c r="H346" s="54" t="s">
        <v>56</v>
      </c>
      <c r="I346" s="57">
        <v>50</v>
      </c>
      <c r="J346" s="15" t="s">
        <v>1280</v>
      </c>
      <c r="K346" s="11" t="s">
        <v>32</v>
      </c>
      <c r="L346" s="11" t="s">
        <v>32</v>
      </c>
      <c r="M346" s="57">
        <v>2000000000000</v>
      </c>
      <c r="N346" s="74" t="s">
        <v>1281</v>
      </c>
      <c r="O346" s="71" t="s">
        <v>217</v>
      </c>
      <c r="P346" s="88" t="s">
        <v>59</v>
      </c>
      <c r="Q346" s="71" t="s">
        <v>35</v>
      </c>
      <c r="R346" s="71" t="s">
        <v>218</v>
      </c>
      <c r="S346" s="24" t="s">
        <v>1282</v>
      </c>
    </row>
    <row r="347" spans="1:19" x14ac:dyDescent="0.25">
      <c r="A347" s="61" t="s">
        <v>1277</v>
      </c>
      <c r="B347" s="87" t="s">
        <v>1278</v>
      </c>
      <c r="C347" s="61" t="s">
        <v>1283</v>
      </c>
      <c r="D347" s="61" t="s">
        <v>53</v>
      </c>
      <c r="E347" s="61" t="s">
        <v>365</v>
      </c>
      <c r="F347" s="61" t="s">
        <v>55</v>
      </c>
      <c r="G347" s="54" t="s">
        <v>28</v>
      </c>
      <c r="H347" s="51" t="s">
        <v>56</v>
      </c>
      <c r="I347" s="66">
        <v>100</v>
      </c>
      <c r="J347" s="15" t="s">
        <v>1284</v>
      </c>
      <c r="K347" s="11" t="s">
        <v>32</v>
      </c>
      <c r="L347" s="11" t="s">
        <v>32</v>
      </c>
      <c r="M347" s="89">
        <v>2000000000000</v>
      </c>
      <c r="N347" s="74" t="s">
        <v>1281</v>
      </c>
      <c r="O347" s="71" t="s">
        <v>58</v>
      </c>
      <c r="P347" s="88" t="s">
        <v>59</v>
      </c>
      <c r="Q347" s="71" t="s">
        <v>35</v>
      </c>
      <c r="R347" s="71" t="s">
        <v>320</v>
      </c>
      <c r="S347" s="24" t="s">
        <v>1282</v>
      </c>
    </row>
    <row r="348" spans="1:19" x14ac:dyDescent="0.25">
      <c r="A348" s="61" t="s">
        <v>1277</v>
      </c>
      <c r="B348" s="87" t="s">
        <v>1278</v>
      </c>
      <c r="C348" s="61" t="s">
        <v>1285</v>
      </c>
      <c r="D348" s="61" t="s">
        <v>53</v>
      </c>
      <c r="E348" s="61" t="s">
        <v>365</v>
      </c>
      <c r="F348" s="61" t="s">
        <v>55</v>
      </c>
      <c r="G348" s="54" t="s">
        <v>28</v>
      </c>
      <c r="H348" s="54" t="s">
        <v>56</v>
      </c>
      <c r="I348" s="57">
        <v>100</v>
      </c>
      <c r="J348" s="15" t="s">
        <v>1284</v>
      </c>
      <c r="K348" s="11" t="s">
        <v>32</v>
      </c>
      <c r="L348" s="11" t="s">
        <v>32</v>
      </c>
      <c r="M348" s="57">
        <v>2000000000000</v>
      </c>
      <c r="N348" s="74" t="s">
        <v>1281</v>
      </c>
      <c r="O348" s="71" t="s">
        <v>125</v>
      </c>
      <c r="P348" s="88" t="s">
        <v>126</v>
      </c>
      <c r="Q348" s="71" t="s">
        <v>35</v>
      </c>
      <c r="R348" s="71" t="s">
        <v>127</v>
      </c>
      <c r="S348" s="24" t="s">
        <v>1282</v>
      </c>
    </row>
    <row r="349" spans="1:19" x14ac:dyDescent="0.25">
      <c r="A349" s="61" t="s">
        <v>1277</v>
      </c>
      <c r="B349" s="87" t="s">
        <v>1278</v>
      </c>
      <c r="C349" s="61" t="s">
        <v>1286</v>
      </c>
      <c r="D349" s="61" t="s">
        <v>53</v>
      </c>
      <c r="E349" s="61" t="s">
        <v>365</v>
      </c>
      <c r="F349" s="61" t="s">
        <v>55</v>
      </c>
      <c r="G349" s="54" t="s">
        <v>28</v>
      </c>
      <c r="H349" s="54" t="s">
        <v>56</v>
      </c>
      <c r="I349" s="57">
        <v>100</v>
      </c>
      <c r="J349" s="15" t="s">
        <v>1284</v>
      </c>
      <c r="K349" s="11" t="s">
        <v>32</v>
      </c>
      <c r="L349" s="11" t="s">
        <v>32</v>
      </c>
      <c r="M349" s="89">
        <v>2000000000000</v>
      </c>
      <c r="N349" s="74" t="s">
        <v>1281</v>
      </c>
      <c r="O349" s="71" t="s">
        <v>217</v>
      </c>
      <c r="P349" s="88" t="s">
        <v>59</v>
      </c>
      <c r="Q349" s="71" t="s">
        <v>35</v>
      </c>
      <c r="R349" s="71" t="s">
        <v>218</v>
      </c>
      <c r="S349" s="24" t="s">
        <v>1282</v>
      </c>
    </row>
    <row r="350" spans="1:19" x14ac:dyDescent="0.25">
      <c r="A350" s="61" t="s">
        <v>1277</v>
      </c>
      <c r="B350" s="87" t="s">
        <v>1278</v>
      </c>
      <c r="C350" s="61" t="s">
        <v>1287</v>
      </c>
      <c r="D350" s="61" t="s">
        <v>53</v>
      </c>
      <c r="E350" s="61" t="s">
        <v>365</v>
      </c>
      <c r="F350" s="61" t="s">
        <v>55</v>
      </c>
      <c r="G350" s="54" t="s">
        <v>28</v>
      </c>
      <c r="H350" s="54" t="s">
        <v>56</v>
      </c>
      <c r="I350" s="57">
        <v>100</v>
      </c>
      <c r="J350" s="15" t="s">
        <v>1284</v>
      </c>
      <c r="K350" s="11" t="s">
        <v>32</v>
      </c>
      <c r="L350" s="11" t="s">
        <v>32</v>
      </c>
      <c r="M350" s="57">
        <v>2000000000000</v>
      </c>
      <c r="N350" s="74" t="s">
        <v>1281</v>
      </c>
      <c r="O350" s="71" t="s">
        <v>174</v>
      </c>
      <c r="P350" s="88" t="s">
        <v>59</v>
      </c>
      <c r="Q350" s="71" t="s">
        <v>35</v>
      </c>
      <c r="R350" s="71" t="s">
        <v>223</v>
      </c>
      <c r="S350" s="24" t="s">
        <v>1282</v>
      </c>
    </row>
    <row r="351" spans="1:19" x14ac:dyDescent="0.25">
      <c r="A351" s="61" t="s">
        <v>1277</v>
      </c>
      <c r="B351" s="87" t="s">
        <v>1278</v>
      </c>
      <c r="C351" s="61" t="s">
        <v>1288</v>
      </c>
      <c r="D351" s="61" t="s">
        <v>53</v>
      </c>
      <c r="E351" s="61" t="s">
        <v>365</v>
      </c>
      <c r="F351" s="59" t="s">
        <v>867</v>
      </c>
      <c r="G351" s="54" t="s">
        <v>28</v>
      </c>
      <c r="H351" s="11" t="s">
        <v>42</v>
      </c>
      <c r="I351" s="57" t="s">
        <v>30</v>
      </c>
      <c r="J351" s="14" t="s">
        <v>1284</v>
      </c>
      <c r="K351" s="11" t="s">
        <v>32</v>
      </c>
      <c r="L351" s="11" t="s">
        <v>32</v>
      </c>
      <c r="M351" s="89">
        <v>2000000000000</v>
      </c>
      <c r="N351" s="74" t="s">
        <v>1281</v>
      </c>
      <c r="O351" s="71" t="s">
        <v>125</v>
      </c>
      <c r="P351" s="88" t="s">
        <v>126</v>
      </c>
      <c r="Q351" s="71" t="s">
        <v>35</v>
      </c>
      <c r="R351" s="71" t="s">
        <v>1226</v>
      </c>
      <c r="S351" s="9" t="str">
        <f t="shared" ref="S351:S357" si="5">HYPERLINK(CONCATENATE("https://www.analog.com/", A351, "/datasheet"))</f>
        <v>https://www.analog.com/OP27S/datasheet</v>
      </c>
    </row>
    <row r="352" spans="1:19" x14ac:dyDescent="0.25">
      <c r="A352" s="61" t="s">
        <v>1277</v>
      </c>
      <c r="B352" s="87" t="s">
        <v>1278</v>
      </c>
      <c r="C352" s="61" t="s">
        <v>1289</v>
      </c>
      <c r="D352" s="61" t="s">
        <v>53</v>
      </c>
      <c r="E352" s="61" t="s">
        <v>365</v>
      </c>
      <c r="F352" s="59" t="s">
        <v>867</v>
      </c>
      <c r="G352" s="54" t="s">
        <v>28</v>
      </c>
      <c r="H352" s="11" t="s">
        <v>42</v>
      </c>
      <c r="I352" s="57" t="s">
        <v>30</v>
      </c>
      <c r="J352" s="14" t="s">
        <v>1284</v>
      </c>
      <c r="K352" s="11" t="s">
        <v>32</v>
      </c>
      <c r="L352" s="11" t="s">
        <v>32</v>
      </c>
      <c r="M352" s="57">
        <v>2000000000000</v>
      </c>
      <c r="N352" s="74" t="s">
        <v>1281</v>
      </c>
      <c r="O352" s="71" t="s">
        <v>174</v>
      </c>
      <c r="P352" s="88" t="s">
        <v>59</v>
      </c>
      <c r="Q352" s="71" t="s">
        <v>35</v>
      </c>
      <c r="R352" s="71" t="s">
        <v>223</v>
      </c>
      <c r="S352" s="9" t="str">
        <f t="shared" si="5"/>
        <v>https://www.analog.com/OP27S/datasheet</v>
      </c>
    </row>
    <row r="353" spans="1:19" x14ac:dyDescent="0.25">
      <c r="A353" s="61" t="s">
        <v>1277</v>
      </c>
      <c r="B353" s="87" t="s">
        <v>1278</v>
      </c>
      <c r="C353" s="61" t="s">
        <v>1290</v>
      </c>
      <c r="D353" s="61" t="s">
        <v>53</v>
      </c>
      <c r="E353" s="61" t="s">
        <v>365</v>
      </c>
      <c r="F353" s="59" t="s">
        <v>1189</v>
      </c>
      <c r="G353" s="54" t="s">
        <v>28</v>
      </c>
      <c r="H353" s="57" t="s">
        <v>29</v>
      </c>
      <c r="I353" s="57" t="s">
        <v>30</v>
      </c>
      <c r="J353" s="14" t="s">
        <v>1284</v>
      </c>
      <c r="K353" s="11" t="s">
        <v>32</v>
      </c>
      <c r="L353" s="11" t="s">
        <v>32</v>
      </c>
      <c r="M353" s="89">
        <v>2000000000000</v>
      </c>
      <c r="N353" s="74" t="s">
        <v>1281</v>
      </c>
      <c r="O353" s="71" t="s">
        <v>125</v>
      </c>
      <c r="P353" s="88" t="s">
        <v>126</v>
      </c>
      <c r="Q353" s="71" t="s">
        <v>35</v>
      </c>
      <c r="R353" s="71" t="s">
        <v>1226</v>
      </c>
      <c r="S353" s="9" t="str">
        <f t="shared" si="5"/>
        <v>https://www.analog.com/OP27S/datasheet</v>
      </c>
    </row>
    <row r="354" spans="1:19" x14ac:dyDescent="0.25">
      <c r="A354" s="61" t="s">
        <v>1277</v>
      </c>
      <c r="B354" s="87" t="s">
        <v>1278</v>
      </c>
      <c r="C354" s="61" t="s">
        <v>1291</v>
      </c>
      <c r="D354" s="61" t="s">
        <v>53</v>
      </c>
      <c r="E354" s="61" t="s">
        <v>365</v>
      </c>
      <c r="F354" s="59" t="s">
        <v>1189</v>
      </c>
      <c r="G354" s="54" t="s">
        <v>28</v>
      </c>
      <c r="H354" s="66" t="s">
        <v>29</v>
      </c>
      <c r="I354" s="66" t="s">
        <v>30</v>
      </c>
      <c r="J354" s="14" t="s">
        <v>1284</v>
      </c>
      <c r="K354" s="11" t="s">
        <v>32</v>
      </c>
      <c r="L354" s="11" t="s">
        <v>32</v>
      </c>
      <c r="M354" s="57">
        <v>2000000000000</v>
      </c>
      <c r="N354" s="74" t="s">
        <v>1281</v>
      </c>
      <c r="O354" s="71" t="s">
        <v>174</v>
      </c>
      <c r="P354" s="88" t="s">
        <v>59</v>
      </c>
      <c r="Q354" s="71" t="s">
        <v>35</v>
      </c>
      <c r="R354" s="71" t="s">
        <v>223</v>
      </c>
      <c r="S354" s="9" t="str">
        <f t="shared" si="5"/>
        <v>https://www.analog.com/OP27S/datasheet</v>
      </c>
    </row>
    <row r="355" spans="1:19" x14ac:dyDescent="0.25">
      <c r="A355" s="61" t="s">
        <v>1277</v>
      </c>
      <c r="B355" s="87" t="s">
        <v>1278</v>
      </c>
      <c r="C355" s="61" t="s">
        <v>1292</v>
      </c>
      <c r="D355" s="61" t="s">
        <v>53</v>
      </c>
      <c r="E355" s="61" t="s">
        <v>365</v>
      </c>
      <c r="F355" s="59" t="s">
        <v>76</v>
      </c>
      <c r="G355" s="54" t="s">
        <v>28</v>
      </c>
      <c r="H355" s="54" t="s">
        <v>29</v>
      </c>
      <c r="I355" s="57" t="s">
        <v>30</v>
      </c>
      <c r="J355" s="14" t="s">
        <v>1284</v>
      </c>
      <c r="K355" s="11" t="s">
        <v>32</v>
      </c>
      <c r="L355" s="11" t="s">
        <v>32</v>
      </c>
      <c r="M355" s="57">
        <v>2000000000000</v>
      </c>
      <c r="N355" s="74" t="s">
        <v>1281</v>
      </c>
      <c r="O355" s="71" t="s">
        <v>77</v>
      </c>
      <c r="P355" s="79" t="s">
        <v>42</v>
      </c>
      <c r="Q355" s="79" t="s">
        <v>42</v>
      </c>
      <c r="R355" s="79" t="s">
        <v>42</v>
      </c>
      <c r="S355" s="9" t="str">
        <f t="shared" si="5"/>
        <v>https://www.analog.com/OP27S/datasheet</v>
      </c>
    </row>
    <row r="356" spans="1:19" x14ac:dyDescent="0.25">
      <c r="A356" s="61" t="s">
        <v>1277</v>
      </c>
      <c r="B356" s="87" t="s">
        <v>1278</v>
      </c>
      <c r="C356" s="61" t="s">
        <v>1293</v>
      </c>
      <c r="D356" s="61" t="s">
        <v>53</v>
      </c>
      <c r="E356" s="61" t="s">
        <v>365</v>
      </c>
      <c r="F356" s="10" t="s">
        <v>41</v>
      </c>
      <c r="G356" s="54" t="s">
        <v>28</v>
      </c>
      <c r="H356" s="11" t="s">
        <v>42</v>
      </c>
      <c r="I356" s="11" t="s">
        <v>42</v>
      </c>
      <c r="J356" s="11" t="s">
        <v>42</v>
      </c>
      <c r="K356" s="11" t="s">
        <v>42</v>
      </c>
      <c r="L356" s="11" t="s">
        <v>42</v>
      </c>
      <c r="M356" s="11" t="s">
        <v>42</v>
      </c>
      <c r="N356" s="73" t="s">
        <v>42</v>
      </c>
      <c r="O356" s="71" t="s">
        <v>217</v>
      </c>
      <c r="P356" s="88" t="s">
        <v>59</v>
      </c>
      <c r="Q356" s="71" t="s">
        <v>35</v>
      </c>
      <c r="R356" s="71" t="s">
        <v>218</v>
      </c>
      <c r="S356" s="9" t="str">
        <f t="shared" si="5"/>
        <v>https://www.analog.com/OP27S/datasheet</v>
      </c>
    </row>
    <row r="357" spans="1:19" x14ac:dyDescent="0.25">
      <c r="A357" s="61" t="s">
        <v>1277</v>
      </c>
      <c r="B357" s="87" t="s">
        <v>1278</v>
      </c>
      <c r="C357" s="61" t="s">
        <v>1294</v>
      </c>
      <c r="D357" s="61" t="s">
        <v>53</v>
      </c>
      <c r="E357" s="61" t="s">
        <v>365</v>
      </c>
      <c r="F357" s="59" t="s">
        <v>76</v>
      </c>
      <c r="G357" s="54" t="s">
        <v>28</v>
      </c>
      <c r="H357" s="54" t="s">
        <v>56</v>
      </c>
      <c r="I357" s="57">
        <v>100</v>
      </c>
      <c r="J357" s="14" t="s">
        <v>1284</v>
      </c>
      <c r="K357" s="11" t="s">
        <v>32</v>
      </c>
      <c r="L357" s="11" t="s">
        <v>32</v>
      </c>
      <c r="M357" s="57">
        <v>2000000000000</v>
      </c>
      <c r="N357" s="74" t="s">
        <v>1281</v>
      </c>
      <c r="O357" s="71" t="s">
        <v>77</v>
      </c>
      <c r="P357" s="79" t="s">
        <v>42</v>
      </c>
      <c r="Q357" s="79" t="s">
        <v>42</v>
      </c>
      <c r="R357" s="79" t="s">
        <v>42</v>
      </c>
      <c r="S357" s="9" t="str">
        <f t="shared" si="5"/>
        <v>https://www.analog.com/OP27S/datasheet</v>
      </c>
    </row>
    <row r="358" spans="1:19" x14ac:dyDescent="0.25">
      <c r="A358" s="61" t="s">
        <v>1295</v>
      </c>
      <c r="B358" s="87" t="s">
        <v>1296</v>
      </c>
      <c r="C358" s="61" t="s">
        <v>1297</v>
      </c>
      <c r="D358" s="61" t="s">
        <v>53</v>
      </c>
      <c r="E358" s="61" t="s">
        <v>506</v>
      </c>
      <c r="F358" s="61" t="s">
        <v>55</v>
      </c>
      <c r="G358" s="54" t="s">
        <v>28</v>
      </c>
      <c r="H358" s="54" t="s">
        <v>29</v>
      </c>
      <c r="I358" s="57" t="s">
        <v>30</v>
      </c>
      <c r="J358" s="14" t="s">
        <v>1298</v>
      </c>
      <c r="K358" s="11" t="s">
        <v>32</v>
      </c>
      <c r="L358" s="11" t="s">
        <v>32</v>
      </c>
      <c r="M358" s="11" t="s">
        <v>32</v>
      </c>
      <c r="N358" s="73" t="s">
        <v>32</v>
      </c>
      <c r="O358" s="71" t="s">
        <v>125</v>
      </c>
      <c r="P358" s="88" t="s">
        <v>126</v>
      </c>
      <c r="Q358" s="71" t="s">
        <v>35</v>
      </c>
      <c r="R358" s="71" t="s">
        <v>1226</v>
      </c>
      <c r="S358" s="24" t="s">
        <v>1299</v>
      </c>
    </row>
    <row r="359" spans="1:19" x14ac:dyDescent="0.25">
      <c r="A359" s="61" t="s">
        <v>1295</v>
      </c>
      <c r="B359" s="87" t="s">
        <v>1296</v>
      </c>
      <c r="C359" s="61" t="s">
        <v>1300</v>
      </c>
      <c r="D359" s="61" t="s">
        <v>53</v>
      </c>
      <c r="E359" s="61" t="s">
        <v>506</v>
      </c>
      <c r="F359" s="61" t="s">
        <v>55</v>
      </c>
      <c r="G359" s="54" t="s">
        <v>28</v>
      </c>
      <c r="H359" s="54" t="s">
        <v>29</v>
      </c>
      <c r="I359" s="57" t="s">
        <v>30</v>
      </c>
      <c r="J359" s="14" t="s">
        <v>1298</v>
      </c>
      <c r="K359" s="11" t="s">
        <v>32</v>
      </c>
      <c r="L359" s="11" t="s">
        <v>32</v>
      </c>
      <c r="M359" s="11" t="s">
        <v>32</v>
      </c>
      <c r="N359" s="73" t="s">
        <v>32</v>
      </c>
      <c r="O359" s="71" t="s">
        <v>174</v>
      </c>
      <c r="P359" s="88" t="s">
        <v>59</v>
      </c>
      <c r="Q359" s="71" t="s">
        <v>35</v>
      </c>
      <c r="R359" s="71" t="s">
        <v>223</v>
      </c>
      <c r="S359" s="24" t="s">
        <v>1299</v>
      </c>
    </row>
    <row r="360" spans="1:19" x14ac:dyDescent="0.25">
      <c r="A360" s="61" t="s">
        <v>1301</v>
      </c>
      <c r="B360" s="87" t="s">
        <v>1302</v>
      </c>
      <c r="C360" s="61" t="s">
        <v>1303</v>
      </c>
      <c r="D360" s="61" t="s">
        <v>53</v>
      </c>
      <c r="E360" s="61" t="s">
        <v>365</v>
      </c>
      <c r="F360" s="61" t="s">
        <v>55</v>
      </c>
      <c r="G360" s="54" t="s">
        <v>28</v>
      </c>
      <c r="H360" s="54" t="s">
        <v>29</v>
      </c>
      <c r="I360" s="57" t="s">
        <v>30</v>
      </c>
      <c r="J360" s="14" t="s">
        <v>1304</v>
      </c>
      <c r="K360" s="11" t="s">
        <v>32</v>
      </c>
      <c r="L360" s="11" t="s">
        <v>32</v>
      </c>
      <c r="M360" s="11" t="s">
        <v>32</v>
      </c>
      <c r="N360" s="73" t="s">
        <v>32</v>
      </c>
      <c r="O360" s="71" t="s">
        <v>1305</v>
      </c>
      <c r="P360" s="88" t="s">
        <v>59</v>
      </c>
      <c r="Q360" s="71" t="s">
        <v>35</v>
      </c>
      <c r="R360" s="71" t="s">
        <v>1306</v>
      </c>
      <c r="S360" s="24" t="s">
        <v>1307</v>
      </c>
    </row>
    <row r="361" spans="1:19" x14ac:dyDescent="0.25">
      <c r="A361" s="61" t="s">
        <v>1301</v>
      </c>
      <c r="B361" s="87" t="s">
        <v>1302</v>
      </c>
      <c r="C361" s="61" t="s">
        <v>1308</v>
      </c>
      <c r="D361" s="61" t="s">
        <v>53</v>
      </c>
      <c r="E361" s="61" t="s">
        <v>365</v>
      </c>
      <c r="F361" s="61" t="s">
        <v>55</v>
      </c>
      <c r="G361" s="54" t="s">
        <v>28</v>
      </c>
      <c r="H361" s="54" t="s">
        <v>29</v>
      </c>
      <c r="I361" s="57" t="s">
        <v>30</v>
      </c>
      <c r="J361" s="14" t="s">
        <v>1304</v>
      </c>
      <c r="K361" s="11" t="s">
        <v>32</v>
      </c>
      <c r="L361" s="11" t="s">
        <v>32</v>
      </c>
      <c r="M361" s="11" t="s">
        <v>32</v>
      </c>
      <c r="N361" s="73" t="s">
        <v>32</v>
      </c>
      <c r="O361" s="71" t="s">
        <v>72</v>
      </c>
      <c r="P361" s="88" t="s">
        <v>59</v>
      </c>
      <c r="Q361" s="71" t="s">
        <v>35</v>
      </c>
      <c r="R361" s="71" t="s">
        <v>73</v>
      </c>
      <c r="S361" s="24" t="s">
        <v>1307</v>
      </c>
    </row>
    <row r="362" spans="1:19" x14ac:dyDescent="0.25">
      <c r="A362" s="61" t="s">
        <v>1301</v>
      </c>
      <c r="B362" s="87" t="s">
        <v>1302</v>
      </c>
      <c r="C362" s="61" t="s">
        <v>1309</v>
      </c>
      <c r="D362" s="61" t="s">
        <v>53</v>
      </c>
      <c r="E362" s="61" t="s">
        <v>365</v>
      </c>
      <c r="F362" s="61" t="s">
        <v>55</v>
      </c>
      <c r="G362" s="54" t="s">
        <v>28</v>
      </c>
      <c r="H362" s="54" t="s">
        <v>29</v>
      </c>
      <c r="I362" s="57" t="s">
        <v>30</v>
      </c>
      <c r="J362" s="14" t="s">
        <v>1304</v>
      </c>
      <c r="K362" s="11" t="s">
        <v>32</v>
      </c>
      <c r="L362" s="11" t="s">
        <v>32</v>
      </c>
      <c r="M362" s="11" t="s">
        <v>32</v>
      </c>
      <c r="N362" s="73" t="s">
        <v>32</v>
      </c>
      <c r="O362" s="71" t="s">
        <v>1164</v>
      </c>
      <c r="P362" s="88" t="s">
        <v>59</v>
      </c>
      <c r="Q362" s="71" t="s">
        <v>35</v>
      </c>
      <c r="R362" s="71" t="s">
        <v>1165</v>
      </c>
      <c r="S362" s="24" t="s">
        <v>1307</v>
      </c>
    </row>
    <row r="363" spans="1:19" x14ac:dyDescent="0.25">
      <c r="A363" s="61" t="s">
        <v>1301</v>
      </c>
      <c r="B363" s="87" t="s">
        <v>1302</v>
      </c>
      <c r="C363" s="61" t="s">
        <v>1310</v>
      </c>
      <c r="D363" s="61" t="s">
        <v>53</v>
      </c>
      <c r="E363" s="61" t="s">
        <v>365</v>
      </c>
      <c r="F363" s="61" t="s">
        <v>55</v>
      </c>
      <c r="G363" s="54" t="s">
        <v>28</v>
      </c>
      <c r="H363" s="54" t="s">
        <v>56</v>
      </c>
      <c r="I363" s="57">
        <v>50</v>
      </c>
      <c r="J363" s="14" t="s">
        <v>1311</v>
      </c>
      <c r="K363" s="11" t="s">
        <v>32</v>
      </c>
      <c r="L363" s="11" t="s">
        <v>32</v>
      </c>
      <c r="M363" s="11" t="s">
        <v>32</v>
      </c>
      <c r="N363" s="73" t="s">
        <v>32</v>
      </c>
      <c r="O363" s="71" t="s">
        <v>1164</v>
      </c>
      <c r="P363" s="88" t="s">
        <v>59</v>
      </c>
      <c r="Q363" s="71" t="s">
        <v>35</v>
      </c>
      <c r="R363" s="71" t="s">
        <v>1165</v>
      </c>
      <c r="S363" s="24" t="s">
        <v>1307</v>
      </c>
    </row>
    <row r="364" spans="1:19" x14ac:dyDescent="0.25">
      <c r="A364" s="61" t="s">
        <v>1301</v>
      </c>
      <c r="B364" s="87" t="s">
        <v>1302</v>
      </c>
      <c r="C364" s="61" t="s">
        <v>1312</v>
      </c>
      <c r="D364" s="61" t="s">
        <v>53</v>
      </c>
      <c r="E364" s="61" t="s">
        <v>365</v>
      </c>
      <c r="F364" s="61" t="s">
        <v>55</v>
      </c>
      <c r="G364" s="54" t="s">
        <v>28</v>
      </c>
      <c r="H364" s="54" t="s">
        <v>56</v>
      </c>
      <c r="I364" s="57">
        <v>100</v>
      </c>
      <c r="J364" s="14" t="s">
        <v>1304</v>
      </c>
      <c r="K364" s="11" t="s">
        <v>32</v>
      </c>
      <c r="L364" s="11" t="s">
        <v>32</v>
      </c>
      <c r="M364" s="11" t="s">
        <v>32</v>
      </c>
      <c r="N364" s="73" t="s">
        <v>32</v>
      </c>
      <c r="O364" s="71" t="s">
        <v>72</v>
      </c>
      <c r="P364" s="88" t="s">
        <v>59</v>
      </c>
      <c r="Q364" s="71" t="s">
        <v>35</v>
      </c>
      <c r="R364" s="71" t="s">
        <v>73</v>
      </c>
      <c r="S364" s="24" t="s">
        <v>1307</v>
      </c>
    </row>
    <row r="365" spans="1:19" x14ac:dyDescent="0.25">
      <c r="A365" s="61" t="s">
        <v>1301</v>
      </c>
      <c r="B365" s="87" t="s">
        <v>1302</v>
      </c>
      <c r="C365" s="61" t="s">
        <v>1313</v>
      </c>
      <c r="D365" s="61" t="s">
        <v>53</v>
      </c>
      <c r="E365" s="61" t="s">
        <v>365</v>
      </c>
      <c r="F365" s="61" t="s">
        <v>55</v>
      </c>
      <c r="G365" s="54" t="s">
        <v>28</v>
      </c>
      <c r="H365" s="54" t="s">
        <v>56</v>
      </c>
      <c r="I365" s="57">
        <v>100</v>
      </c>
      <c r="J365" s="14" t="s">
        <v>1304</v>
      </c>
      <c r="K365" s="11" t="s">
        <v>32</v>
      </c>
      <c r="L365" s="11" t="s">
        <v>32</v>
      </c>
      <c r="M365" s="11" t="s">
        <v>32</v>
      </c>
      <c r="N365" s="73" t="s">
        <v>32</v>
      </c>
      <c r="O365" s="71" t="s">
        <v>1164</v>
      </c>
      <c r="P365" s="88" t="s">
        <v>59</v>
      </c>
      <c r="Q365" s="71" t="s">
        <v>35</v>
      </c>
      <c r="R365" s="71" t="s">
        <v>1165</v>
      </c>
      <c r="S365" s="9" t="s">
        <v>1307</v>
      </c>
    </row>
    <row r="366" spans="1:19" x14ac:dyDescent="0.25">
      <c r="A366" s="61" t="s">
        <v>1301</v>
      </c>
      <c r="B366" s="87" t="s">
        <v>1302</v>
      </c>
      <c r="C366" s="61" t="s">
        <v>1314</v>
      </c>
      <c r="D366" s="61" t="s">
        <v>53</v>
      </c>
      <c r="E366" s="61" t="s">
        <v>365</v>
      </c>
      <c r="F366" s="59" t="s">
        <v>76</v>
      </c>
      <c r="G366" s="54" t="s">
        <v>28</v>
      </c>
      <c r="H366" s="54" t="s">
        <v>29</v>
      </c>
      <c r="I366" s="57" t="s">
        <v>30</v>
      </c>
      <c r="J366" s="14" t="s">
        <v>1304</v>
      </c>
      <c r="K366" s="11" t="s">
        <v>32</v>
      </c>
      <c r="L366" s="11" t="s">
        <v>32</v>
      </c>
      <c r="M366" s="11" t="s">
        <v>32</v>
      </c>
      <c r="N366" s="73" t="s">
        <v>32</v>
      </c>
      <c r="O366" s="71" t="s">
        <v>77</v>
      </c>
      <c r="P366" s="79" t="s">
        <v>42</v>
      </c>
      <c r="Q366" s="79" t="s">
        <v>42</v>
      </c>
      <c r="R366" s="79" t="s">
        <v>42</v>
      </c>
      <c r="S366" s="9" t="str">
        <f>HYPERLINK(CONCATENATE("https://www.analog.com/", A366, "/datasheet"))</f>
        <v>https://www.analog.com/OP400S/datasheet</v>
      </c>
    </row>
    <row r="367" spans="1:19" x14ac:dyDescent="0.25">
      <c r="A367" s="61" t="s">
        <v>1301</v>
      </c>
      <c r="B367" s="87" t="s">
        <v>1302</v>
      </c>
      <c r="C367" s="61" t="s">
        <v>1315</v>
      </c>
      <c r="D367" s="61" t="s">
        <v>53</v>
      </c>
      <c r="E367" s="61" t="s">
        <v>365</v>
      </c>
      <c r="F367" s="10" t="s">
        <v>41</v>
      </c>
      <c r="G367" s="54" t="s">
        <v>28</v>
      </c>
      <c r="H367" s="11" t="s">
        <v>42</v>
      </c>
      <c r="I367" s="11" t="s">
        <v>42</v>
      </c>
      <c r="J367" s="11" t="s">
        <v>42</v>
      </c>
      <c r="K367" s="11" t="s">
        <v>42</v>
      </c>
      <c r="L367" s="11" t="s">
        <v>42</v>
      </c>
      <c r="M367" s="11" t="s">
        <v>42</v>
      </c>
      <c r="N367" s="73" t="s">
        <v>42</v>
      </c>
      <c r="O367" s="71" t="s">
        <v>1164</v>
      </c>
      <c r="P367" s="88" t="s">
        <v>59</v>
      </c>
      <c r="Q367" s="71" t="s">
        <v>35</v>
      </c>
      <c r="R367" s="71" t="s">
        <v>1165</v>
      </c>
      <c r="S367" s="9" t="str">
        <f>HYPERLINK(CONCATENATE("https://www.analog.com/", A367, "/datasheet"))</f>
        <v>https://www.analog.com/OP400S/datasheet</v>
      </c>
    </row>
    <row r="368" spans="1:19" x14ac:dyDescent="0.25">
      <c r="A368" s="61" t="s">
        <v>1316</v>
      </c>
      <c r="B368" s="87" t="s">
        <v>1317</v>
      </c>
      <c r="C368" s="61" t="s">
        <v>1318</v>
      </c>
      <c r="D368" s="61" t="s">
        <v>53</v>
      </c>
      <c r="E368" s="61" t="s">
        <v>170</v>
      </c>
      <c r="F368" s="61" t="s">
        <v>55</v>
      </c>
      <c r="G368" s="54" t="s">
        <v>28</v>
      </c>
      <c r="H368" s="54" t="s">
        <v>29</v>
      </c>
      <c r="I368" s="57" t="s">
        <v>30</v>
      </c>
      <c r="J368" s="14" t="s">
        <v>1319</v>
      </c>
      <c r="K368" s="11" t="s">
        <v>32</v>
      </c>
      <c r="L368" s="11" t="s">
        <v>32</v>
      </c>
      <c r="M368" s="11" t="s">
        <v>32</v>
      </c>
      <c r="N368" s="73" t="s">
        <v>32</v>
      </c>
      <c r="O368" s="71" t="s">
        <v>125</v>
      </c>
      <c r="P368" s="88" t="s">
        <v>126</v>
      </c>
      <c r="Q368" s="71" t="s">
        <v>35</v>
      </c>
      <c r="R368" s="71" t="s">
        <v>127</v>
      </c>
      <c r="S368" s="24" t="s">
        <v>1320</v>
      </c>
    </row>
    <row r="369" spans="1:19" x14ac:dyDescent="0.25">
      <c r="A369" s="61" t="s">
        <v>1316</v>
      </c>
      <c r="B369" s="87" t="s">
        <v>1317</v>
      </c>
      <c r="C369" s="61" t="s">
        <v>1321</v>
      </c>
      <c r="D369" s="61" t="s">
        <v>53</v>
      </c>
      <c r="E369" s="61" t="s">
        <v>170</v>
      </c>
      <c r="F369" s="61" t="s">
        <v>55</v>
      </c>
      <c r="G369" s="54" t="s">
        <v>28</v>
      </c>
      <c r="H369" s="54" t="s">
        <v>29</v>
      </c>
      <c r="I369" s="57" t="s">
        <v>30</v>
      </c>
      <c r="J369" s="14" t="s">
        <v>1319</v>
      </c>
      <c r="K369" s="11" t="s">
        <v>32</v>
      </c>
      <c r="L369" s="11" t="s">
        <v>32</v>
      </c>
      <c r="M369" s="11" t="s">
        <v>32</v>
      </c>
      <c r="N369" s="73" t="s">
        <v>32</v>
      </c>
      <c r="O369" s="71" t="s">
        <v>174</v>
      </c>
      <c r="P369" s="88" t="s">
        <v>59</v>
      </c>
      <c r="Q369" s="71" t="s">
        <v>35</v>
      </c>
      <c r="R369" s="71" t="s">
        <v>175</v>
      </c>
      <c r="S369" s="24" t="s">
        <v>1320</v>
      </c>
    </row>
    <row r="370" spans="1:19" x14ac:dyDescent="0.25">
      <c r="A370" s="61" t="s">
        <v>1322</v>
      </c>
      <c r="B370" s="87" t="s">
        <v>1323</v>
      </c>
      <c r="C370" s="61" t="s">
        <v>1324</v>
      </c>
      <c r="D370" s="61" t="s">
        <v>53</v>
      </c>
      <c r="E370" s="61" t="s">
        <v>365</v>
      </c>
      <c r="F370" s="61" t="s">
        <v>55</v>
      </c>
      <c r="G370" s="54" t="s">
        <v>28</v>
      </c>
      <c r="H370" s="54" t="s">
        <v>29</v>
      </c>
      <c r="I370" s="57" t="s">
        <v>30</v>
      </c>
      <c r="J370" s="14" t="s">
        <v>1325</v>
      </c>
      <c r="K370" s="11" t="s">
        <v>32</v>
      </c>
      <c r="L370" s="11" t="s">
        <v>32</v>
      </c>
      <c r="M370" s="89">
        <v>2000000000000</v>
      </c>
      <c r="N370" s="74" t="s">
        <v>1326</v>
      </c>
      <c r="O370" s="71" t="s">
        <v>58</v>
      </c>
      <c r="P370" s="88" t="s">
        <v>59</v>
      </c>
      <c r="Q370" s="71" t="s">
        <v>35</v>
      </c>
      <c r="R370" s="71" t="s">
        <v>320</v>
      </c>
      <c r="S370" s="24" t="s">
        <v>1327</v>
      </c>
    </row>
    <row r="371" spans="1:19" x14ac:dyDescent="0.25">
      <c r="A371" s="61" t="s">
        <v>1322</v>
      </c>
      <c r="B371" s="87" t="s">
        <v>1323</v>
      </c>
      <c r="C371" s="61" t="s">
        <v>1328</v>
      </c>
      <c r="D371" s="61" t="s">
        <v>53</v>
      </c>
      <c r="E371" s="61" t="s">
        <v>365</v>
      </c>
      <c r="F371" s="61" t="s">
        <v>55</v>
      </c>
      <c r="G371" s="54" t="s">
        <v>28</v>
      </c>
      <c r="H371" s="54" t="s">
        <v>56</v>
      </c>
      <c r="I371" s="57">
        <v>100</v>
      </c>
      <c r="J371" s="14" t="s">
        <v>1325</v>
      </c>
      <c r="K371" s="11" t="s">
        <v>32</v>
      </c>
      <c r="L371" s="11" t="s">
        <v>32</v>
      </c>
      <c r="M371" s="89">
        <v>2000000000000</v>
      </c>
      <c r="N371" s="74" t="s">
        <v>1326</v>
      </c>
      <c r="O371" s="71" t="s">
        <v>72</v>
      </c>
      <c r="P371" s="88" t="s">
        <v>59</v>
      </c>
      <c r="Q371" s="71" t="s">
        <v>35</v>
      </c>
      <c r="R371" s="71" t="s">
        <v>73</v>
      </c>
      <c r="S371" s="24" t="s">
        <v>1327</v>
      </c>
    </row>
    <row r="372" spans="1:19" x14ac:dyDescent="0.25">
      <c r="A372" s="61" t="s">
        <v>1322</v>
      </c>
      <c r="B372" s="87" t="s">
        <v>1323</v>
      </c>
      <c r="C372" s="61" t="s">
        <v>1329</v>
      </c>
      <c r="D372" s="61" t="s">
        <v>53</v>
      </c>
      <c r="E372" s="61" t="s">
        <v>365</v>
      </c>
      <c r="F372" s="61" t="s">
        <v>55</v>
      </c>
      <c r="G372" s="54" t="s">
        <v>28</v>
      </c>
      <c r="H372" s="54" t="s">
        <v>56</v>
      </c>
      <c r="I372" s="57">
        <v>100</v>
      </c>
      <c r="J372" s="14" t="s">
        <v>1325</v>
      </c>
      <c r="K372" s="11" t="s">
        <v>32</v>
      </c>
      <c r="L372" s="11" t="s">
        <v>32</v>
      </c>
      <c r="M372" s="89">
        <v>2000000000000</v>
      </c>
      <c r="N372" s="74" t="s">
        <v>1326</v>
      </c>
      <c r="O372" s="71" t="s">
        <v>253</v>
      </c>
      <c r="P372" s="88" t="s">
        <v>59</v>
      </c>
      <c r="Q372" s="71" t="s">
        <v>35</v>
      </c>
      <c r="R372" s="71" t="s">
        <v>285</v>
      </c>
      <c r="S372" s="24" t="s">
        <v>1327</v>
      </c>
    </row>
    <row r="373" spans="1:19" x14ac:dyDescent="0.25">
      <c r="A373" s="61" t="s">
        <v>1322</v>
      </c>
      <c r="B373" s="87" t="s">
        <v>1323</v>
      </c>
      <c r="C373" s="61" t="s">
        <v>1330</v>
      </c>
      <c r="D373" s="61" t="s">
        <v>53</v>
      </c>
      <c r="E373" s="61" t="s">
        <v>365</v>
      </c>
      <c r="F373" s="10" t="s">
        <v>41</v>
      </c>
      <c r="G373" s="54" t="s">
        <v>28</v>
      </c>
      <c r="H373" s="11" t="s">
        <v>42</v>
      </c>
      <c r="I373" s="11" t="s">
        <v>42</v>
      </c>
      <c r="J373" s="11" t="s">
        <v>42</v>
      </c>
      <c r="K373" s="11" t="s">
        <v>42</v>
      </c>
      <c r="L373" s="11" t="s">
        <v>42</v>
      </c>
      <c r="M373" s="11" t="s">
        <v>42</v>
      </c>
      <c r="N373" s="73" t="s">
        <v>42</v>
      </c>
      <c r="O373" s="71" t="s">
        <v>72</v>
      </c>
      <c r="P373" s="88" t="s">
        <v>59</v>
      </c>
      <c r="Q373" s="71" t="s">
        <v>35</v>
      </c>
      <c r="R373" s="71" t="s">
        <v>73</v>
      </c>
      <c r="S373" s="9" t="str">
        <f>HYPERLINK(CONCATENATE("https://www.analog.com/", A373, "/datasheet"))</f>
        <v>https://www.analog.com/OP467S/datasheet</v>
      </c>
    </row>
    <row r="374" spans="1:19" x14ac:dyDescent="0.25">
      <c r="A374" s="61" t="s">
        <v>1322</v>
      </c>
      <c r="B374" s="87" t="s">
        <v>1323</v>
      </c>
      <c r="C374" s="61" t="s">
        <v>1331</v>
      </c>
      <c r="D374" s="61" t="s">
        <v>53</v>
      </c>
      <c r="E374" s="61" t="s">
        <v>365</v>
      </c>
      <c r="F374" s="59" t="s">
        <v>76</v>
      </c>
      <c r="G374" s="54" t="s">
        <v>28</v>
      </c>
      <c r="H374" s="54" t="s">
        <v>56</v>
      </c>
      <c r="I374" s="57">
        <v>100</v>
      </c>
      <c r="J374" s="14" t="s">
        <v>1325</v>
      </c>
      <c r="K374" s="11" t="s">
        <v>32</v>
      </c>
      <c r="L374" s="11" t="s">
        <v>32</v>
      </c>
      <c r="M374" s="89">
        <v>2000000000000</v>
      </c>
      <c r="N374" s="74" t="s">
        <v>1326</v>
      </c>
      <c r="O374" s="71" t="s">
        <v>77</v>
      </c>
      <c r="P374" s="79" t="s">
        <v>42</v>
      </c>
      <c r="Q374" s="79" t="s">
        <v>42</v>
      </c>
      <c r="R374" s="79" t="s">
        <v>42</v>
      </c>
      <c r="S374" s="9" t="str">
        <f>HYPERLINK(CONCATENATE("https://www.analog.com/", A374, "/datasheet"))</f>
        <v>https://www.analog.com/OP467S/datasheet</v>
      </c>
    </row>
    <row r="375" spans="1:19" x14ac:dyDescent="0.25">
      <c r="A375" s="61" t="s">
        <v>1332</v>
      </c>
      <c r="B375" s="87" t="s">
        <v>1333</v>
      </c>
      <c r="C375" s="61" t="s">
        <v>1334</v>
      </c>
      <c r="D375" s="61" t="s">
        <v>53</v>
      </c>
      <c r="E375" s="61" t="s">
        <v>365</v>
      </c>
      <c r="F375" s="61" t="s">
        <v>55</v>
      </c>
      <c r="G375" s="54" t="s">
        <v>28</v>
      </c>
      <c r="H375" s="54" t="s">
        <v>29</v>
      </c>
      <c r="I375" s="57" t="s">
        <v>30</v>
      </c>
      <c r="J375" s="14" t="s">
        <v>1335</v>
      </c>
      <c r="K375" s="11" t="s">
        <v>32</v>
      </c>
      <c r="L375" s="11" t="s">
        <v>32</v>
      </c>
      <c r="M375" s="89">
        <v>2000000000000</v>
      </c>
      <c r="N375" s="74" t="s">
        <v>1336</v>
      </c>
      <c r="O375" s="71" t="s">
        <v>58</v>
      </c>
      <c r="P375" s="88" t="s">
        <v>59</v>
      </c>
      <c r="Q375" s="71" t="s">
        <v>35</v>
      </c>
      <c r="R375" s="71" t="s">
        <v>320</v>
      </c>
      <c r="S375" s="9" t="s">
        <v>1337</v>
      </c>
    </row>
    <row r="376" spans="1:19" x14ac:dyDescent="0.25">
      <c r="A376" s="61" t="s">
        <v>1332</v>
      </c>
      <c r="B376" s="87" t="s">
        <v>1333</v>
      </c>
      <c r="C376" s="61" t="s">
        <v>1338</v>
      </c>
      <c r="D376" s="61" t="s">
        <v>53</v>
      </c>
      <c r="E376" s="61" t="s">
        <v>365</v>
      </c>
      <c r="F376" s="61" t="s">
        <v>55</v>
      </c>
      <c r="G376" s="54" t="s">
        <v>28</v>
      </c>
      <c r="H376" s="54" t="s">
        <v>56</v>
      </c>
      <c r="I376" s="57">
        <v>50</v>
      </c>
      <c r="J376" s="14" t="s">
        <v>1339</v>
      </c>
      <c r="K376" s="11" t="s">
        <v>32</v>
      </c>
      <c r="L376" s="11" t="s">
        <v>32</v>
      </c>
      <c r="M376" s="89">
        <v>2000000000000</v>
      </c>
      <c r="N376" s="74" t="s">
        <v>1336</v>
      </c>
      <c r="O376" s="71" t="s">
        <v>72</v>
      </c>
      <c r="P376" s="88" t="s">
        <v>59</v>
      </c>
      <c r="Q376" s="71" t="s">
        <v>35</v>
      </c>
      <c r="R376" s="71" t="s">
        <v>73</v>
      </c>
      <c r="S376" s="9" t="s">
        <v>1337</v>
      </c>
    </row>
    <row r="377" spans="1:19" x14ac:dyDescent="0.25">
      <c r="A377" s="61" t="s">
        <v>1332</v>
      </c>
      <c r="B377" s="87" t="s">
        <v>1333</v>
      </c>
      <c r="C377" s="61" t="s">
        <v>1340</v>
      </c>
      <c r="D377" s="61" t="s">
        <v>53</v>
      </c>
      <c r="E377" s="61" t="s">
        <v>365</v>
      </c>
      <c r="F377" s="61" t="s">
        <v>55</v>
      </c>
      <c r="G377" s="54" t="s">
        <v>28</v>
      </c>
      <c r="H377" s="54" t="s">
        <v>56</v>
      </c>
      <c r="I377" s="57">
        <v>100</v>
      </c>
      <c r="J377" s="14" t="s">
        <v>1335</v>
      </c>
      <c r="K377" s="11" t="s">
        <v>32</v>
      </c>
      <c r="L377" s="11" t="s">
        <v>32</v>
      </c>
      <c r="M377" s="89">
        <v>2000000000000</v>
      </c>
      <c r="N377" s="74" t="s">
        <v>1336</v>
      </c>
      <c r="O377" s="71" t="s">
        <v>58</v>
      </c>
      <c r="P377" s="88" t="s">
        <v>59</v>
      </c>
      <c r="Q377" s="71" t="s">
        <v>35</v>
      </c>
      <c r="R377" s="71" t="s">
        <v>320</v>
      </c>
      <c r="S377" s="24" t="s">
        <v>1337</v>
      </c>
    </row>
    <row r="378" spans="1:19" x14ac:dyDescent="0.25">
      <c r="A378" s="61" t="s">
        <v>1332</v>
      </c>
      <c r="B378" s="87" t="s">
        <v>1333</v>
      </c>
      <c r="C378" s="61" t="s">
        <v>1341</v>
      </c>
      <c r="D378" s="61" t="s">
        <v>53</v>
      </c>
      <c r="E378" s="61" t="s">
        <v>365</v>
      </c>
      <c r="F378" s="61" t="s">
        <v>55</v>
      </c>
      <c r="G378" s="54" t="s">
        <v>28</v>
      </c>
      <c r="H378" s="54" t="s">
        <v>56</v>
      </c>
      <c r="I378" s="57">
        <v>100</v>
      </c>
      <c r="J378" s="15" t="s">
        <v>1335</v>
      </c>
      <c r="K378" s="11" t="s">
        <v>32</v>
      </c>
      <c r="L378" s="11" t="s">
        <v>32</v>
      </c>
      <c r="M378" s="89">
        <v>2000000000000</v>
      </c>
      <c r="N378" s="74" t="s">
        <v>1336</v>
      </c>
      <c r="O378" s="71" t="s">
        <v>72</v>
      </c>
      <c r="P378" s="88" t="s">
        <v>59</v>
      </c>
      <c r="Q378" s="71" t="s">
        <v>35</v>
      </c>
      <c r="R378" s="71" t="s">
        <v>73</v>
      </c>
      <c r="S378" s="24" t="s">
        <v>1337</v>
      </c>
    </row>
    <row r="379" spans="1:19" x14ac:dyDescent="0.25">
      <c r="A379" s="61" t="s">
        <v>1332</v>
      </c>
      <c r="B379" s="87" t="s">
        <v>1333</v>
      </c>
      <c r="C379" s="61" t="s">
        <v>1342</v>
      </c>
      <c r="D379" s="61" t="s">
        <v>53</v>
      </c>
      <c r="E379" s="61" t="s">
        <v>365</v>
      </c>
      <c r="F379" s="61" t="s">
        <v>55</v>
      </c>
      <c r="G379" s="54" t="s">
        <v>28</v>
      </c>
      <c r="H379" s="54" t="s">
        <v>56</v>
      </c>
      <c r="I379" s="57">
        <v>100</v>
      </c>
      <c r="J379" s="15" t="s">
        <v>1335</v>
      </c>
      <c r="K379" s="11" t="s">
        <v>32</v>
      </c>
      <c r="L379" s="11" t="s">
        <v>32</v>
      </c>
      <c r="M379" s="89">
        <v>2000000000000</v>
      </c>
      <c r="N379" s="74" t="s">
        <v>1336</v>
      </c>
      <c r="O379" s="71" t="s">
        <v>1164</v>
      </c>
      <c r="P379" s="88" t="s">
        <v>59</v>
      </c>
      <c r="Q379" s="71" t="s">
        <v>35</v>
      </c>
      <c r="R379" s="71" t="s">
        <v>1165</v>
      </c>
      <c r="S379" s="24" t="s">
        <v>1337</v>
      </c>
    </row>
    <row r="380" spans="1:19" x14ac:dyDescent="0.25">
      <c r="A380" s="61" t="s">
        <v>1343</v>
      </c>
      <c r="B380" s="87" t="s">
        <v>1344</v>
      </c>
      <c r="C380" s="61" t="s">
        <v>1345</v>
      </c>
      <c r="D380" s="61" t="s">
        <v>53</v>
      </c>
      <c r="E380" s="61" t="s">
        <v>365</v>
      </c>
      <c r="F380" s="61" t="s">
        <v>55</v>
      </c>
      <c r="G380" s="54" t="s">
        <v>28</v>
      </c>
      <c r="H380" s="54" t="s">
        <v>56</v>
      </c>
      <c r="I380" s="57">
        <v>50</v>
      </c>
      <c r="J380" s="14" t="s">
        <v>1346</v>
      </c>
      <c r="K380" s="11" t="s">
        <v>32</v>
      </c>
      <c r="L380" s="11" t="s">
        <v>32</v>
      </c>
      <c r="M380" s="89">
        <v>2000000000000</v>
      </c>
      <c r="N380" s="74" t="s">
        <v>1347</v>
      </c>
      <c r="O380" s="71" t="s">
        <v>253</v>
      </c>
      <c r="P380" s="88" t="s">
        <v>59</v>
      </c>
      <c r="Q380" s="71" t="s">
        <v>35</v>
      </c>
      <c r="R380" s="71" t="s">
        <v>285</v>
      </c>
      <c r="S380" s="24" t="s">
        <v>1337</v>
      </c>
    </row>
    <row r="381" spans="1:19" x14ac:dyDescent="0.25">
      <c r="A381" s="61" t="s">
        <v>1343</v>
      </c>
      <c r="B381" s="87" t="s">
        <v>1344</v>
      </c>
      <c r="C381" s="61" t="s">
        <v>1348</v>
      </c>
      <c r="D381" s="61" t="s">
        <v>53</v>
      </c>
      <c r="E381" s="61" t="s">
        <v>365</v>
      </c>
      <c r="F381" s="61" t="s">
        <v>55</v>
      </c>
      <c r="G381" s="54" t="s">
        <v>28</v>
      </c>
      <c r="H381" s="54" t="s">
        <v>56</v>
      </c>
      <c r="I381" s="57">
        <v>100</v>
      </c>
      <c r="J381" s="14" t="s">
        <v>1349</v>
      </c>
      <c r="K381" s="11" t="s">
        <v>32</v>
      </c>
      <c r="L381" s="11" t="s">
        <v>32</v>
      </c>
      <c r="M381" s="89">
        <v>2000000000000</v>
      </c>
      <c r="N381" s="74" t="s">
        <v>1347</v>
      </c>
      <c r="O381" s="71" t="s">
        <v>72</v>
      </c>
      <c r="P381" s="88" t="s">
        <v>59</v>
      </c>
      <c r="Q381" s="71" t="s">
        <v>35</v>
      </c>
      <c r="R381" s="71" t="s">
        <v>73</v>
      </c>
      <c r="S381" s="24" t="s">
        <v>1337</v>
      </c>
    </row>
    <row r="382" spans="1:19" x14ac:dyDescent="0.25">
      <c r="A382" s="61" t="s">
        <v>1343</v>
      </c>
      <c r="B382" s="87" t="s">
        <v>1344</v>
      </c>
      <c r="C382" s="61" t="s">
        <v>1350</v>
      </c>
      <c r="D382" s="61" t="s">
        <v>53</v>
      </c>
      <c r="E382" s="61" t="s">
        <v>365</v>
      </c>
      <c r="F382" s="61" t="s">
        <v>55</v>
      </c>
      <c r="G382" s="54" t="s">
        <v>28</v>
      </c>
      <c r="H382" s="54" t="s">
        <v>56</v>
      </c>
      <c r="I382" s="57">
        <v>100</v>
      </c>
      <c r="J382" s="14" t="s">
        <v>1349</v>
      </c>
      <c r="K382" s="11" t="s">
        <v>32</v>
      </c>
      <c r="L382" s="11" t="s">
        <v>32</v>
      </c>
      <c r="M382" s="89">
        <v>2000000000000</v>
      </c>
      <c r="N382" s="74" t="s">
        <v>1347</v>
      </c>
      <c r="O382" s="71" t="s">
        <v>253</v>
      </c>
      <c r="P382" s="88" t="s">
        <v>59</v>
      </c>
      <c r="Q382" s="71" t="s">
        <v>35</v>
      </c>
      <c r="R382" s="71" t="s">
        <v>285</v>
      </c>
      <c r="S382" s="24" t="s">
        <v>1337</v>
      </c>
    </row>
    <row r="383" spans="1:19" x14ac:dyDescent="0.25">
      <c r="A383" s="61" t="s">
        <v>1343</v>
      </c>
      <c r="B383" s="87" t="s">
        <v>1344</v>
      </c>
      <c r="C383" s="61" t="s">
        <v>1351</v>
      </c>
      <c r="D383" s="61" t="s">
        <v>53</v>
      </c>
      <c r="E383" s="61" t="s">
        <v>365</v>
      </c>
      <c r="F383" s="61" t="s">
        <v>55</v>
      </c>
      <c r="G383" s="54" t="s">
        <v>28</v>
      </c>
      <c r="H383" s="54" t="s">
        <v>56</v>
      </c>
      <c r="I383" s="57">
        <v>100</v>
      </c>
      <c r="J383" s="14" t="s">
        <v>1349</v>
      </c>
      <c r="K383" s="11" t="s">
        <v>32</v>
      </c>
      <c r="L383" s="11" t="s">
        <v>32</v>
      </c>
      <c r="M383" s="89">
        <v>2000000000000</v>
      </c>
      <c r="N383" s="74" t="s">
        <v>1347</v>
      </c>
      <c r="O383" s="71" t="s">
        <v>1164</v>
      </c>
      <c r="P383" s="88" t="s">
        <v>59</v>
      </c>
      <c r="Q383" s="71" t="s">
        <v>35</v>
      </c>
      <c r="R383" s="71" t="s">
        <v>1165</v>
      </c>
      <c r="S383" s="9" t="s">
        <v>1337</v>
      </c>
    </row>
    <row r="384" spans="1:19" x14ac:dyDescent="0.25">
      <c r="A384" s="61" t="s">
        <v>1343</v>
      </c>
      <c r="B384" s="87" t="s">
        <v>1344</v>
      </c>
      <c r="C384" s="61" t="s">
        <v>1352</v>
      </c>
      <c r="D384" s="61" t="s">
        <v>53</v>
      </c>
      <c r="E384" s="61" t="s">
        <v>365</v>
      </c>
      <c r="F384" s="59" t="s">
        <v>76</v>
      </c>
      <c r="G384" s="54" t="s">
        <v>28</v>
      </c>
      <c r="H384" s="54" t="s">
        <v>56</v>
      </c>
      <c r="I384" s="57">
        <v>100</v>
      </c>
      <c r="J384" s="14" t="s">
        <v>1349</v>
      </c>
      <c r="K384" s="11" t="s">
        <v>32</v>
      </c>
      <c r="L384" s="11" t="s">
        <v>32</v>
      </c>
      <c r="M384" s="89">
        <v>2000000000000</v>
      </c>
      <c r="N384" s="74" t="s">
        <v>1347</v>
      </c>
      <c r="O384" s="71" t="s">
        <v>77</v>
      </c>
      <c r="P384" s="79" t="s">
        <v>42</v>
      </c>
      <c r="Q384" s="79" t="s">
        <v>42</v>
      </c>
      <c r="R384" s="79" t="s">
        <v>42</v>
      </c>
      <c r="S384" s="9" t="str">
        <f>HYPERLINK(CONCATENATE("https://www.analog.com/", A384, "/datasheet"))</f>
        <v>https://www.analog.com/OP471S/datasheet</v>
      </c>
    </row>
    <row r="385" spans="1:19" x14ac:dyDescent="0.25">
      <c r="A385" s="61" t="s">
        <v>1353</v>
      </c>
      <c r="B385" s="87" t="s">
        <v>1354</v>
      </c>
      <c r="C385" s="61" t="s">
        <v>1355</v>
      </c>
      <c r="D385" s="61" t="s">
        <v>53</v>
      </c>
      <c r="E385" s="61" t="s">
        <v>365</v>
      </c>
      <c r="F385" s="61" t="s">
        <v>55</v>
      </c>
      <c r="G385" s="54" t="s">
        <v>28</v>
      </c>
      <c r="H385" s="54" t="s">
        <v>29</v>
      </c>
      <c r="I385" s="57" t="s">
        <v>30</v>
      </c>
      <c r="J385" s="14" t="s">
        <v>1356</v>
      </c>
      <c r="K385" s="11" t="s">
        <v>32</v>
      </c>
      <c r="L385" s="11" t="s">
        <v>32</v>
      </c>
      <c r="M385" s="57">
        <v>2000000000000</v>
      </c>
      <c r="N385" s="74" t="s">
        <v>1357</v>
      </c>
      <c r="O385" s="71" t="s">
        <v>72</v>
      </c>
      <c r="P385" s="88" t="s">
        <v>59</v>
      </c>
      <c r="Q385" s="71" t="s">
        <v>35</v>
      </c>
      <c r="R385" s="71" t="s">
        <v>73</v>
      </c>
      <c r="S385" s="24" t="s">
        <v>1358</v>
      </c>
    </row>
    <row r="386" spans="1:19" x14ac:dyDescent="0.25">
      <c r="A386" s="61" t="s">
        <v>1353</v>
      </c>
      <c r="B386" s="87" t="s">
        <v>1354</v>
      </c>
      <c r="C386" s="61" t="s">
        <v>1359</v>
      </c>
      <c r="D386" s="61" t="s">
        <v>53</v>
      </c>
      <c r="E386" s="61" t="s">
        <v>365</v>
      </c>
      <c r="F386" s="61" t="s">
        <v>55</v>
      </c>
      <c r="G386" s="54" t="s">
        <v>28</v>
      </c>
      <c r="H386" s="54" t="s">
        <v>29</v>
      </c>
      <c r="I386" s="57" t="s">
        <v>30</v>
      </c>
      <c r="J386" s="14" t="s">
        <v>1356</v>
      </c>
      <c r="K386" s="11" t="s">
        <v>32</v>
      </c>
      <c r="L386" s="11" t="s">
        <v>32</v>
      </c>
      <c r="M386" s="57">
        <v>2000000000000</v>
      </c>
      <c r="N386" s="74" t="s">
        <v>1357</v>
      </c>
      <c r="O386" s="71" t="s">
        <v>253</v>
      </c>
      <c r="P386" s="88" t="s">
        <v>59</v>
      </c>
      <c r="Q386" s="71" t="s">
        <v>35</v>
      </c>
      <c r="R386" s="71" t="s">
        <v>1360</v>
      </c>
      <c r="S386" s="24" t="s">
        <v>1358</v>
      </c>
    </row>
    <row r="387" spans="1:19" x14ac:dyDescent="0.25">
      <c r="A387" s="61" t="s">
        <v>1353</v>
      </c>
      <c r="B387" s="87" t="s">
        <v>1354</v>
      </c>
      <c r="C387" s="61" t="s">
        <v>1361</v>
      </c>
      <c r="D387" s="61" t="s">
        <v>53</v>
      </c>
      <c r="E387" s="61" t="s">
        <v>365</v>
      </c>
      <c r="F387" s="61" t="s">
        <v>55</v>
      </c>
      <c r="G387" s="54" t="s">
        <v>28</v>
      </c>
      <c r="H387" s="54" t="s">
        <v>56</v>
      </c>
      <c r="I387" s="57">
        <v>50</v>
      </c>
      <c r="J387" s="14" t="s">
        <v>1362</v>
      </c>
      <c r="K387" s="11" t="s">
        <v>32</v>
      </c>
      <c r="L387" s="11" t="s">
        <v>32</v>
      </c>
      <c r="M387" s="89">
        <v>2000000000000</v>
      </c>
      <c r="N387" s="74" t="s">
        <v>1357</v>
      </c>
      <c r="O387" s="71" t="s">
        <v>253</v>
      </c>
      <c r="P387" s="88" t="s">
        <v>59</v>
      </c>
      <c r="Q387" s="71" t="s">
        <v>35</v>
      </c>
      <c r="R387" s="71" t="s">
        <v>1360</v>
      </c>
      <c r="S387" s="9" t="s">
        <v>1358</v>
      </c>
    </row>
    <row r="388" spans="1:19" x14ac:dyDescent="0.25">
      <c r="A388" s="61" t="s">
        <v>1353</v>
      </c>
      <c r="B388" s="87" t="s">
        <v>1354</v>
      </c>
      <c r="C388" s="61" t="s">
        <v>1363</v>
      </c>
      <c r="D388" s="61" t="s">
        <v>53</v>
      </c>
      <c r="E388" s="61" t="s">
        <v>365</v>
      </c>
      <c r="F388" s="61" t="s">
        <v>55</v>
      </c>
      <c r="G388" s="54" t="s">
        <v>28</v>
      </c>
      <c r="H388" s="54" t="s">
        <v>56</v>
      </c>
      <c r="I388" s="57">
        <v>100</v>
      </c>
      <c r="J388" s="14" t="s">
        <v>1356</v>
      </c>
      <c r="K388" s="11" t="s">
        <v>32</v>
      </c>
      <c r="L388" s="11" t="s">
        <v>32</v>
      </c>
      <c r="M388" s="57">
        <v>2000000000000</v>
      </c>
      <c r="N388" s="74" t="s">
        <v>1357</v>
      </c>
      <c r="O388" s="71" t="s">
        <v>72</v>
      </c>
      <c r="P388" s="88" t="s">
        <v>59</v>
      </c>
      <c r="Q388" s="71" t="s">
        <v>35</v>
      </c>
      <c r="R388" s="71" t="s">
        <v>73</v>
      </c>
      <c r="S388" s="9" t="s">
        <v>1358</v>
      </c>
    </row>
    <row r="389" spans="1:19" x14ac:dyDescent="0.25">
      <c r="A389" s="61" t="s">
        <v>1353</v>
      </c>
      <c r="B389" s="87" t="s">
        <v>1354</v>
      </c>
      <c r="C389" s="61" t="s">
        <v>1364</v>
      </c>
      <c r="D389" s="61" t="s">
        <v>53</v>
      </c>
      <c r="E389" s="61" t="s">
        <v>365</v>
      </c>
      <c r="F389" s="61" t="s">
        <v>55</v>
      </c>
      <c r="G389" s="54" t="s">
        <v>28</v>
      </c>
      <c r="H389" s="54" t="s">
        <v>56</v>
      </c>
      <c r="I389" s="57">
        <v>100</v>
      </c>
      <c r="J389" s="14" t="s">
        <v>1356</v>
      </c>
      <c r="K389" s="11" t="s">
        <v>32</v>
      </c>
      <c r="L389" s="11" t="s">
        <v>32</v>
      </c>
      <c r="M389" s="57">
        <v>2000000000000</v>
      </c>
      <c r="N389" s="74" t="s">
        <v>1357</v>
      </c>
      <c r="O389" s="71" t="s">
        <v>253</v>
      </c>
      <c r="P389" s="88" t="s">
        <v>59</v>
      </c>
      <c r="Q389" s="71" t="s">
        <v>35</v>
      </c>
      <c r="R389" s="71" t="s">
        <v>1360</v>
      </c>
      <c r="S389" s="24" t="s">
        <v>1358</v>
      </c>
    </row>
    <row r="390" spans="1:19" x14ac:dyDescent="0.25">
      <c r="A390" s="61" t="s">
        <v>1353</v>
      </c>
      <c r="B390" s="87" t="s">
        <v>1354</v>
      </c>
      <c r="C390" s="61" t="s">
        <v>1365</v>
      </c>
      <c r="D390" s="61" t="s">
        <v>53</v>
      </c>
      <c r="E390" s="61" t="s">
        <v>365</v>
      </c>
      <c r="F390" s="10" t="s">
        <v>41</v>
      </c>
      <c r="G390" s="54" t="s">
        <v>28</v>
      </c>
      <c r="H390" s="11" t="s">
        <v>42</v>
      </c>
      <c r="I390" s="11" t="s">
        <v>42</v>
      </c>
      <c r="J390" s="11" t="s">
        <v>42</v>
      </c>
      <c r="K390" s="11" t="s">
        <v>42</v>
      </c>
      <c r="L390" s="11" t="s">
        <v>42</v>
      </c>
      <c r="M390" s="11" t="s">
        <v>42</v>
      </c>
      <c r="N390" s="73" t="s">
        <v>42</v>
      </c>
      <c r="O390" s="71" t="s">
        <v>253</v>
      </c>
      <c r="P390" s="88" t="s">
        <v>59</v>
      </c>
      <c r="Q390" s="71" t="s">
        <v>35</v>
      </c>
      <c r="R390" s="71" t="s">
        <v>1360</v>
      </c>
      <c r="S390" s="9" t="str">
        <f>HYPERLINK(CONCATENATE("https://www.analog.com/", A390, "/datasheet"))</f>
        <v>https://www.analog.com/OP484S/datasheet</v>
      </c>
    </row>
    <row r="391" spans="1:19" x14ac:dyDescent="0.25">
      <c r="A391" s="61" t="s">
        <v>1353</v>
      </c>
      <c r="B391" s="87" t="s">
        <v>1354</v>
      </c>
      <c r="C391" s="61" t="s">
        <v>1366</v>
      </c>
      <c r="D391" s="61" t="s">
        <v>53</v>
      </c>
      <c r="E391" s="61" t="s">
        <v>365</v>
      </c>
      <c r="F391" s="59" t="s">
        <v>76</v>
      </c>
      <c r="G391" s="54" t="s">
        <v>28</v>
      </c>
      <c r="H391" s="54" t="s">
        <v>56</v>
      </c>
      <c r="I391" s="57">
        <v>100</v>
      </c>
      <c r="J391" s="14" t="s">
        <v>1356</v>
      </c>
      <c r="K391" s="11" t="s">
        <v>32</v>
      </c>
      <c r="L391" s="11" t="s">
        <v>32</v>
      </c>
      <c r="M391" s="57">
        <v>2000000000000</v>
      </c>
      <c r="N391" s="74" t="s">
        <v>1357</v>
      </c>
      <c r="O391" s="71" t="s">
        <v>77</v>
      </c>
      <c r="P391" s="79" t="s">
        <v>42</v>
      </c>
      <c r="Q391" s="79" t="s">
        <v>42</v>
      </c>
      <c r="R391" s="79" t="s">
        <v>42</v>
      </c>
      <c r="S391" s="9" t="str">
        <f>HYPERLINK(CONCATENATE("https://www.analog.com/", A391, "/datasheet"))</f>
        <v>https://www.analog.com/OP484S/datasheet</v>
      </c>
    </row>
    <row r="392" spans="1:19" x14ac:dyDescent="0.25">
      <c r="A392" s="61" t="s">
        <v>1367</v>
      </c>
      <c r="B392" s="87" t="s">
        <v>1368</v>
      </c>
      <c r="C392" s="61" t="s">
        <v>1369</v>
      </c>
      <c r="D392" s="61" t="s">
        <v>53</v>
      </c>
      <c r="E392" s="61" t="s">
        <v>365</v>
      </c>
      <c r="F392" s="61" t="s">
        <v>55</v>
      </c>
      <c r="G392" s="54" t="s">
        <v>28</v>
      </c>
      <c r="H392" s="54" t="s">
        <v>29</v>
      </c>
      <c r="I392" s="57" t="s">
        <v>30</v>
      </c>
      <c r="J392" s="14" t="s">
        <v>1370</v>
      </c>
      <c r="K392" s="11" t="s">
        <v>32</v>
      </c>
      <c r="L392" s="11" t="s">
        <v>32</v>
      </c>
      <c r="M392" s="11" t="s">
        <v>32</v>
      </c>
      <c r="N392" s="73" t="s">
        <v>32</v>
      </c>
      <c r="O392" s="71" t="s">
        <v>58</v>
      </c>
      <c r="P392" s="88" t="s">
        <v>59</v>
      </c>
      <c r="Q392" s="71" t="s">
        <v>35</v>
      </c>
      <c r="R392" s="71" t="s">
        <v>320</v>
      </c>
      <c r="S392" s="24" t="s">
        <v>1371</v>
      </c>
    </row>
    <row r="393" spans="1:19" x14ac:dyDescent="0.25">
      <c r="A393" s="61" t="s">
        <v>1367</v>
      </c>
      <c r="B393" s="87" t="s">
        <v>1368</v>
      </c>
      <c r="C393" s="61" t="s">
        <v>1372</v>
      </c>
      <c r="D393" s="61" t="s">
        <v>53</v>
      </c>
      <c r="E393" s="61" t="s">
        <v>365</v>
      </c>
      <c r="F393" s="61" t="s">
        <v>55</v>
      </c>
      <c r="G393" s="54" t="s">
        <v>28</v>
      </c>
      <c r="H393" s="54" t="s">
        <v>29</v>
      </c>
      <c r="I393" s="57" t="s">
        <v>30</v>
      </c>
      <c r="J393" s="14" t="s">
        <v>1370</v>
      </c>
      <c r="K393" s="11" t="s">
        <v>32</v>
      </c>
      <c r="L393" s="11" t="s">
        <v>32</v>
      </c>
      <c r="M393" s="11" t="s">
        <v>32</v>
      </c>
      <c r="N393" s="73" t="s">
        <v>32</v>
      </c>
      <c r="O393" s="71" t="s">
        <v>125</v>
      </c>
      <c r="P393" s="88" t="s">
        <v>126</v>
      </c>
      <c r="Q393" s="71" t="s">
        <v>35</v>
      </c>
      <c r="R393" s="71" t="s">
        <v>127</v>
      </c>
      <c r="S393" s="24" t="s">
        <v>1371</v>
      </c>
    </row>
    <row r="394" spans="1:19" x14ac:dyDescent="0.25">
      <c r="A394" s="61" t="s">
        <v>1367</v>
      </c>
      <c r="B394" s="87" t="s">
        <v>1368</v>
      </c>
      <c r="C394" s="61" t="s">
        <v>1373</v>
      </c>
      <c r="D394" s="61" t="s">
        <v>53</v>
      </c>
      <c r="E394" s="61" t="s">
        <v>365</v>
      </c>
      <c r="F394" s="61" t="s">
        <v>55</v>
      </c>
      <c r="G394" s="54" t="s">
        <v>28</v>
      </c>
      <c r="H394" s="54" t="s">
        <v>29</v>
      </c>
      <c r="I394" s="57" t="s">
        <v>30</v>
      </c>
      <c r="J394" s="14" t="s">
        <v>1370</v>
      </c>
      <c r="K394" s="11" t="s">
        <v>32</v>
      </c>
      <c r="L394" s="11" t="s">
        <v>32</v>
      </c>
      <c r="M394" s="11" t="s">
        <v>32</v>
      </c>
      <c r="N394" s="73" t="s">
        <v>32</v>
      </c>
      <c r="O394" s="71" t="s">
        <v>217</v>
      </c>
      <c r="P394" s="88" t="s">
        <v>59</v>
      </c>
      <c r="Q394" s="71" t="s">
        <v>35</v>
      </c>
      <c r="R394" s="71" t="s">
        <v>218</v>
      </c>
      <c r="S394" s="24" t="s">
        <v>1371</v>
      </c>
    </row>
    <row r="395" spans="1:19" x14ac:dyDescent="0.25">
      <c r="A395" s="61" t="s">
        <v>1367</v>
      </c>
      <c r="B395" s="87" t="s">
        <v>1368</v>
      </c>
      <c r="C395" s="61" t="s">
        <v>1374</v>
      </c>
      <c r="D395" s="61" t="s">
        <v>53</v>
      </c>
      <c r="E395" s="61" t="s">
        <v>365</v>
      </c>
      <c r="F395" s="61" t="s">
        <v>55</v>
      </c>
      <c r="G395" s="54" t="s">
        <v>28</v>
      </c>
      <c r="H395" s="54" t="s">
        <v>29</v>
      </c>
      <c r="I395" s="57" t="s">
        <v>30</v>
      </c>
      <c r="J395" s="14" t="s">
        <v>1370</v>
      </c>
      <c r="K395" s="11" t="s">
        <v>32</v>
      </c>
      <c r="L395" s="11" t="s">
        <v>32</v>
      </c>
      <c r="M395" s="11" t="s">
        <v>32</v>
      </c>
      <c r="N395" s="73" t="s">
        <v>32</v>
      </c>
      <c r="O395" s="71" t="s">
        <v>174</v>
      </c>
      <c r="P395" s="88" t="s">
        <v>59</v>
      </c>
      <c r="Q395" s="71" t="s">
        <v>35</v>
      </c>
      <c r="R395" s="71" t="s">
        <v>223</v>
      </c>
      <c r="S395" s="24" t="s">
        <v>1371</v>
      </c>
    </row>
    <row r="396" spans="1:19" x14ac:dyDescent="0.25">
      <c r="A396" s="61" t="s">
        <v>1375</v>
      </c>
      <c r="B396" s="87" t="s">
        <v>1376</v>
      </c>
      <c r="C396" s="61" t="s">
        <v>1377</v>
      </c>
      <c r="D396" s="61" t="s">
        <v>53</v>
      </c>
      <c r="E396" s="61" t="s">
        <v>365</v>
      </c>
      <c r="F396" s="61" t="s">
        <v>55</v>
      </c>
      <c r="G396" s="54" t="s">
        <v>28</v>
      </c>
      <c r="H396" s="54" t="s">
        <v>56</v>
      </c>
      <c r="I396" s="57">
        <v>100</v>
      </c>
      <c r="J396" s="14" t="s">
        <v>1378</v>
      </c>
      <c r="K396" s="11" t="s">
        <v>32</v>
      </c>
      <c r="L396" s="11" t="s">
        <v>32</v>
      </c>
      <c r="M396" s="11" t="s">
        <v>32</v>
      </c>
      <c r="N396" s="73" t="s">
        <v>32</v>
      </c>
      <c r="O396" s="71" t="s">
        <v>125</v>
      </c>
      <c r="P396" s="88" t="s">
        <v>126</v>
      </c>
      <c r="Q396" s="71" t="s">
        <v>35</v>
      </c>
      <c r="R396" s="71" t="s">
        <v>127</v>
      </c>
      <c r="S396" s="24" t="s">
        <v>1379</v>
      </c>
    </row>
    <row r="397" spans="1:19" x14ac:dyDescent="0.25">
      <c r="A397" s="61" t="s">
        <v>1375</v>
      </c>
      <c r="B397" s="87" t="s">
        <v>1376</v>
      </c>
      <c r="C397" s="61" t="s">
        <v>1380</v>
      </c>
      <c r="D397" s="61" t="s">
        <v>53</v>
      </c>
      <c r="E397" s="61" t="s">
        <v>365</v>
      </c>
      <c r="F397" s="61" t="s">
        <v>55</v>
      </c>
      <c r="G397" s="54" t="s">
        <v>28</v>
      </c>
      <c r="H397" s="51" t="s">
        <v>56</v>
      </c>
      <c r="I397" s="66">
        <v>100</v>
      </c>
      <c r="J397" s="14" t="s">
        <v>1378</v>
      </c>
      <c r="K397" s="11" t="s">
        <v>32</v>
      </c>
      <c r="L397" s="11" t="s">
        <v>32</v>
      </c>
      <c r="M397" s="11" t="s">
        <v>32</v>
      </c>
      <c r="N397" s="73" t="s">
        <v>32</v>
      </c>
      <c r="O397" s="71" t="s">
        <v>217</v>
      </c>
      <c r="P397" s="88" t="s">
        <v>59</v>
      </c>
      <c r="Q397" s="71" t="s">
        <v>35</v>
      </c>
      <c r="R397" s="71" t="s">
        <v>218</v>
      </c>
      <c r="S397" s="24" t="s">
        <v>1379</v>
      </c>
    </row>
    <row r="398" spans="1:19" x14ac:dyDescent="0.25">
      <c r="A398" s="59" t="s">
        <v>1375</v>
      </c>
      <c r="B398" s="87" t="s">
        <v>1376</v>
      </c>
      <c r="C398" s="59" t="s">
        <v>1381</v>
      </c>
      <c r="D398" s="61" t="s">
        <v>53</v>
      </c>
      <c r="E398" s="61" t="s">
        <v>365</v>
      </c>
      <c r="F398" s="59" t="s">
        <v>1189</v>
      </c>
      <c r="G398" s="54" t="s">
        <v>28</v>
      </c>
      <c r="H398" s="57" t="s">
        <v>29</v>
      </c>
      <c r="I398" s="57" t="s">
        <v>30</v>
      </c>
      <c r="J398" s="14" t="s">
        <v>1378</v>
      </c>
      <c r="K398" s="11" t="s">
        <v>32</v>
      </c>
      <c r="L398" s="11" t="s">
        <v>32</v>
      </c>
      <c r="M398" s="11" t="s">
        <v>32</v>
      </c>
      <c r="N398" s="73" t="s">
        <v>32</v>
      </c>
      <c r="O398" s="71" t="s">
        <v>125</v>
      </c>
      <c r="P398" s="88" t="s">
        <v>126</v>
      </c>
      <c r="Q398" s="71" t="s">
        <v>35</v>
      </c>
      <c r="R398" s="71" t="s">
        <v>1226</v>
      </c>
      <c r="S398" s="9" t="str">
        <f>HYPERLINK(CONCATENATE("https://www.analog.com/", A398, "/datasheet"))</f>
        <v>https://www.analog.com/PM108S/datasheet</v>
      </c>
    </row>
    <row r="399" spans="1:19" x14ac:dyDescent="0.25">
      <c r="A399" s="61" t="s">
        <v>1375</v>
      </c>
      <c r="B399" s="87" t="s">
        <v>1376</v>
      </c>
      <c r="C399" s="61" t="s">
        <v>1382</v>
      </c>
      <c r="D399" s="61" t="s">
        <v>53</v>
      </c>
      <c r="E399" s="61" t="s">
        <v>365</v>
      </c>
      <c r="F399" s="59" t="s">
        <v>76</v>
      </c>
      <c r="G399" s="54" t="s">
        <v>28</v>
      </c>
      <c r="H399" s="54" t="s">
        <v>29</v>
      </c>
      <c r="I399" s="57">
        <v>100</v>
      </c>
      <c r="J399" s="14" t="s">
        <v>1378</v>
      </c>
      <c r="K399" s="11" t="s">
        <v>32</v>
      </c>
      <c r="L399" s="11" t="s">
        <v>32</v>
      </c>
      <c r="M399" s="11" t="s">
        <v>32</v>
      </c>
      <c r="N399" s="73" t="s">
        <v>32</v>
      </c>
      <c r="O399" s="71" t="s">
        <v>77</v>
      </c>
      <c r="P399" s="79" t="s">
        <v>42</v>
      </c>
      <c r="Q399" s="79" t="s">
        <v>42</v>
      </c>
      <c r="R399" s="79" t="s">
        <v>42</v>
      </c>
      <c r="S399" s="9" t="str">
        <f>HYPERLINK(CONCATENATE("https://www.analog.com/", A399, "/datasheet"))</f>
        <v>https://www.analog.com/PM108S/datasheet</v>
      </c>
    </row>
    <row r="400" spans="1:19" x14ac:dyDescent="0.25">
      <c r="A400" s="61" t="s">
        <v>1375</v>
      </c>
      <c r="B400" s="87" t="s">
        <v>1376</v>
      </c>
      <c r="C400" s="61" t="s">
        <v>1383</v>
      </c>
      <c r="D400" s="61" t="s">
        <v>53</v>
      </c>
      <c r="E400" s="61" t="s">
        <v>365</v>
      </c>
      <c r="F400" s="59" t="s">
        <v>76</v>
      </c>
      <c r="G400" s="54" t="s">
        <v>28</v>
      </c>
      <c r="H400" s="54" t="s">
        <v>56</v>
      </c>
      <c r="I400" s="57">
        <v>100</v>
      </c>
      <c r="J400" s="14" t="s">
        <v>1378</v>
      </c>
      <c r="K400" s="11" t="s">
        <v>32</v>
      </c>
      <c r="L400" s="11" t="s">
        <v>32</v>
      </c>
      <c r="M400" s="11" t="s">
        <v>32</v>
      </c>
      <c r="N400" s="73" t="s">
        <v>32</v>
      </c>
      <c r="O400" s="71" t="s">
        <v>77</v>
      </c>
      <c r="P400" s="79" t="s">
        <v>42</v>
      </c>
      <c r="Q400" s="79" t="s">
        <v>42</v>
      </c>
      <c r="R400" s="79" t="s">
        <v>42</v>
      </c>
      <c r="S400" s="9" t="str">
        <f>HYPERLINK(CONCATENATE("https://www.analog.com/", A400, "/datasheet"))</f>
        <v>https://www.analog.com/PM108S/datasheet</v>
      </c>
    </row>
    <row r="401" spans="1:19" x14ac:dyDescent="0.25">
      <c r="A401" s="59" t="s">
        <v>1384</v>
      </c>
      <c r="B401" s="87" t="s">
        <v>1385</v>
      </c>
      <c r="C401" s="59" t="s">
        <v>1386</v>
      </c>
      <c r="D401" s="61" t="s">
        <v>68</v>
      </c>
      <c r="E401" s="61" t="s">
        <v>1387</v>
      </c>
      <c r="F401" s="59" t="s">
        <v>1189</v>
      </c>
      <c r="G401" s="54" t="s">
        <v>28</v>
      </c>
      <c r="H401" s="66" t="s">
        <v>29</v>
      </c>
      <c r="I401" s="66" t="s">
        <v>70</v>
      </c>
      <c r="J401" s="22" t="s">
        <v>1388</v>
      </c>
      <c r="K401" s="11" t="s">
        <v>32</v>
      </c>
      <c r="L401" s="11" t="s">
        <v>32</v>
      </c>
      <c r="M401" s="11" t="s">
        <v>32</v>
      </c>
      <c r="N401" s="73" t="s">
        <v>32</v>
      </c>
      <c r="O401" s="71" t="s">
        <v>125</v>
      </c>
      <c r="P401" s="88" t="s">
        <v>126</v>
      </c>
      <c r="Q401" s="71" t="s">
        <v>35</v>
      </c>
      <c r="R401" s="71" t="s">
        <v>1226</v>
      </c>
      <c r="S401" s="9" t="str">
        <f>HYPERLINK(CONCATENATE("https://www.analog.com/", A401, "/datasheet"))</f>
        <v>https://www.analog.com/PM111S/datasheet</v>
      </c>
    </row>
    <row r="402" spans="1:19" x14ac:dyDescent="0.25">
      <c r="A402" s="59" t="s">
        <v>1384</v>
      </c>
      <c r="B402" s="87" t="s">
        <v>1385</v>
      </c>
      <c r="C402" s="59" t="s">
        <v>1389</v>
      </c>
      <c r="D402" s="61" t="s">
        <v>68</v>
      </c>
      <c r="E402" s="61" t="s">
        <v>1387</v>
      </c>
      <c r="F402" s="59" t="s">
        <v>1189</v>
      </c>
      <c r="G402" s="54" t="s">
        <v>28</v>
      </c>
      <c r="H402" s="66" t="s">
        <v>29</v>
      </c>
      <c r="I402" s="66" t="s">
        <v>70</v>
      </c>
      <c r="J402" s="8" t="s">
        <v>1388</v>
      </c>
      <c r="K402" s="11" t="s">
        <v>32</v>
      </c>
      <c r="L402" s="11" t="s">
        <v>32</v>
      </c>
      <c r="M402" s="11" t="s">
        <v>32</v>
      </c>
      <c r="N402" s="73" t="s">
        <v>32</v>
      </c>
      <c r="O402" s="71" t="s">
        <v>174</v>
      </c>
      <c r="P402" s="88" t="s">
        <v>59</v>
      </c>
      <c r="Q402" s="71" t="s">
        <v>35</v>
      </c>
      <c r="R402" s="71" t="s">
        <v>223</v>
      </c>
      <c r="S402" s="9" t="str">
        <f>HYPERLINK(CONCATENATE("https://www.analog.com/", A402, "/datasheet"))</f>
        <v>https://www.analog.com/PM111S/datasheet</v>
      </c>
    </row>
    <row r="403" spans="1:19" x14ac:dyDescent="0.25">
      <c r="A403" s="61" t="s">
        <v>1390</v>
      </c>
      <c r="B403" s="87" t="s">
        <v>1391</v>
      </c>
      <c r="C403" s="61" t="s">
        <v>1392</v>
      </c>
      <c r="D403" s="61" t="s">
        <v>68</v>
      </c>
      <c r="E403" s="61" t="s">
        <v>1387</v>
      </c>
      <c r="F403" s="61" t="s">
        <v>55</v>
      </c>
      <c r="G403" s="54" t="s">
        <v>28</v>
      </c>
      <c r="H403" s="54" t="s">
        <v>56</v>
      </c>
      <c r="I403" s="57">
        <v>50</v>
      </c>
      <c r="J403" s="14" t="s">
        <v>1393</v>
      </c>
      <c r="K403" s="11" t="s">
        <v>32</v>
      </c>
      <c r="L403" s="11" t="s">
        <v>32</v>
      </c>
      <c r="M403" s="11" t="s">
        <v>32</v>
      </c>
      <c r="N403" s="73" t="s">
        <v>32</v>
      </c>
      <c r="O403" s="71" t="s">
        <v>253</v>
      </c>
      <c r="P403" s="88" t="s">
        <v>59</v>
      </c>
      <c r="Q403" s="71" t="s">
        <v>35</v>
      </c>
      <c r="R403" s="71" t="s">
        <v>285</v>
      </c>
      <c r="S403" s="24" t="s">
        <v>1394</v>
      </c>
    </row>
    <row r="404" spans="1:19" x14ac:dyDescent="0.25">
      <c r="A404" s="61" t="s">
        <v>1390</v>
      </c>
      <c r="B404" s="87" t="s">
        <v>1391</v>
      </c>
      <c r="C404" s="61" t="s">
        <v>1395</v>
      </c>
      <c r="D404" s="61" t="s">
        <v>68</v>
      </c>
      <c r="E404" s="61" t="s">
        <v>1387</v>
      </c>
      <c r="F404" s="61" t="s">
        <v>55</v>
      </c>
      <c r="G404" s="54" t="s">
        <v>28</v>
      </c>
      <c r="H404" s="54" t="s">
        <v>56</v>
      </c>
      <c r="I404" s="57">
        <v>100</v>
      </c>
      <c r="J404" s="14" t="s">
        <v>1396</v>
      </c>
      <c r="K404" s="11" t="s">
        <v>32</v>
      </c>
      <c r="L404" s="11" t="s">
        <v>32</v>
      </c>
      <c r="M404" s="11" t="s">
        <v>32</v>
      </c>
      <c r="N404" s="73" t="s">
        <v>32</v>
      </c>
      <c r="O404" s="71" t="s">
        <v>58</v>
      </c>
      <c r="P404" s="88" t="s">
        <v>59</v>
      </c>
      <c r="Q404" s="71" t="s">
        <v>35</v>
      </c>
      <c r="R404" s="71" t="s">
        <v>320</v>
      </c>
      <c r="S404" s="24" t="s">
        <v>1394</v>
      </c>
    </row>
    <row r="405" spans="1:19" x14ac:dyDescent="0.25">
      <c r="A405" s="61" t="s">
        <v>1390</v>
      </c>
      <c r="B405" s="87" t="s">
        <v>1391</v>
      </c>
      <c r="C405" s="61" t="s">
        <v>1397</v>
      </c>
      <c r="D405" s="61" t="s">
        <v>68</v>
      </c>
      <c r="E405" s="61" t="s">
        <v>1387</v>
      </c>
      <c r="F405" s="61" t="s">
        <v>55</v>
      </c>
      <c r="G405" s="54" t="s">
        <v>28</v>
      </c>
      <c r="H405" s="54" t="s">
        <v>56</v>
      </c>
      <c r="I405" s="57">
        <v>100</v>
      </c>
      <c r="J405" s="14" t="s">
        <v>1396</v>
      </c>
      <c r="K405" s="11" t="s">
        <v>32</v>
      </c>
      <c r="L405" s="11" t="s">
        <v>32</v>
      </c>
      <c r="M405" s="11" t="s">
        <v>32</v>
      </c>
      <c r="N405" s="73" t="s">
        <v>32</v>
      </c>
      <c r="O405" s="71" t="s">
        <v>72</v>
      </c>
      <c r="P405" s="88" t="s">
        <v>59</v>
      </c>
      <c r="Q405" s="71" t="s">
        <v>35</v>
      </c>
      <c r="R405" s="71" t="s">
        <v>73</v>
      </c>
      <c r="S405" s="24" t="s">
        <v>1394</v>
      </c>
    </row>
    <row r="406" spans="1:19" x14ac:dyDescent="0.25">
      <c r="A406" s="61" t="s">
        <v>1390</v>
      </c>
      <c r="B406" s="87" t="s">
        <v>1391</v>
      </c>
      <c r="C406" s="61" t="s">
        <v>1398</v>
      </c>
      <c r="D406" s="61" t="s">
        <v>68</v>
      </c>
      <c r="E406" s="61" t="s">
        <v>1387</v>
      </c>
      <c r="F406" s="61" t="s">
        <v>55</v>
      </c>
      <c r="G406" s="54" t="s">
        <v>28</v>
      </c>
      <c r="H406" s="54" t="s">
        <v>56</v>
      </c>
      <c r="I406" s="57">
        <v>100</v>
      </c>
      <c r="J406" s="14" t="s">
        <v>1396</v>
      </c>
      <c r="K406" s="11" t="s">
        <v>32</v>
      </c>
      <c r="L406" s="11" t="s">
        <v>32</v>
      </c>
      <c r="M406" s="11" t="s">
        <v>32</v>
      </c>
      <c r="N406" s="73" t="s">
        <v>32</v>
      </c>
      <c r="O406" s="71" t="s">
        <v>253</v>
      </c>
      <c r="P406" s="88" t="s">
        <v>59</v>
      </c>
      <c r="Q406" s="71" t="s">
        <v>35</v>
      </c>
      <c r="R406" s="71" t="s">
        <v>285</v>
      </c>
      <c r="S406" s="24" t="s">
        <v>1394</v>
      </c>
    </row>
    <row r="407" spans="1:19" x14ac:dyDescent="0.25">
      <c r="A407" s="61" t="s">
        <v>1390</v>
      </c>
      <c r="B407" s="87" t="s">
        <v>1391</v>
      </c>
      <c r="C407" s="61" t="s">
        <v>1399</v>
      </c>
      <c r="D407" s="61" t="s">
        <v>68</v>
      </c>
      <c r="E407" s="61" t="s">
        <v>1387</v>
      </c>
      <c r="F407" s="59" t="s">
        <v>76</v>
      </c>
      <c r="G407" s="54" t="s">
        <v>28</v>
      </c>
      <c r="H407" s="54" t="s">
        <v>29</v>
      </c>
      <c r="I407" s="57" t="s">
        <v>30</v>
      </c>
      <c r="J407" s="14" t="s">
        <v>1393</v>
      </c>
      <c r="K407" s="11" t="s">
        <v>32</v>
      </c>
      <c r="L407" s="11" t="s">
        <v>32</v>
      </c>
      <c r="M407" s="11" t="s">
        <v>32</v>
      </c>
      <c r="N407" s="73" t="s">
        <v>32</v>
      </c>
      <c r="O407" s="71" t="s">
        <v>77</v>
      </c>
      <c r="P407" s="79" t="s">
        <v>42</v>
      </c>
      <c r="Q407" s="79" t="s">
        <v>42</v>
      </c>
      <c r="R407" s="79" t="s">
        <v>42</v>
      </c>
      <c r="S407" s="9" t="str">
        <f>HYPERLINK(CONCATENATE("https://www.analog.com/", A407, "/datasheet"))</f>
        <v>https://www.analog.com/PM139S/datasheet</v>
      </c>
    </row>
    <row r="408" spans="1:19" x14ac:dyDescent="0.25">
      <c r="A408" s="61" t="s">
        <v>1390</v>
      </c>
      <c r="B408" s="87" t="s">
        <v>1391</v>
      </c>
      <c r="C408" s="61" t="s">
        <v>1400</v>
      </c>
      <c r="D408" s="61" t="s">
        <v>68</v>
      </c>
      <c r="E408" s="61" t="s">
        <v>1387</v>
      </c>
      <c r="F408" s="59" t="s">
        <v>76</v>
      </c>
      <c r="G408" s="54" t="s">
        <v>28</v>
      </c>
      <c r="H408" s="54" t="s">
        <v>56</v>
      </c>
      <c r="I408" s="57">
        <v>100</v>
      </c>
      <c r="J408" s="14" t="s">
        <v>1393</v>
      </c>
      <c r="K408" s="11" t="s">
        <v>32</v>
      </c>
      <c r="L408" s="11" t="s">
        <v>32</v>
      </c>
      <c r="M408" s="11" t="s">
        <v>32</v>
      </c>
      <c r="N408" s="73" t="s">
        <v>32</v>
      </c>
      <c r="O408" s="71" t="s">
        <v>77</v>
      </c>
      <c r="P408" s="79" t="s">
        <v>42</v>
      </c>
      <c r="Q408" s="79" t="s">
        <v>42</v>
      </c>
      <c r="R408" s="79" t="s">
        <v>42</v>
      </c>
      <c r="S408" s="9" t="str">
        <f>HYPERLINK(CONCATENATE("https://www.analog.com/", A408, "/datasheet"))</f>
        <v>https://www.analog.com/PM139S/datasheet</v>
      </c>
    </row>
    <row r="409" spans="1:19" x14ac:dyDescent="0.25">
      <c r="A409" s="61" t="s">
        <v>1401</v>
      </c>
      <c r="B409" s="87" t="s">
        <v>1402</v>
      </c>
      <c r="C409" s="61" t="s">
        <v>1403</v>
      </c>
      <c r="D409" s="61" t="s">
        <v>53</v>
      </c>
      <c r="E409" s="61" t="s">
        <v>170</v>
      </c>
      <c r="F409" s="61" t="s">
        <v>55</v>
      </c>
      <c r="G409" s="54" t="s">
        <v>28</v>
      </c>
      <c r="H409" s="54" t="s">
        <v>56</v>
      </c>
      <c r="I409" s="57">
        <v>100</v>
      </c>
      <c r="J409" s="15" t="s">
        <v>1404</v>
      </c>
      <c r="K409" s="11" t="s">
        <v>32</v>
      </c>
      <c r="L409" s="11" t="s">
        <v>32</v>
      </c>
      <c r="M409" s="11" t="s">
        <v>32</v>
      </c>
      <c r="N409" s="73" t="s">
        <v>32</v>
      </c>
      <c r="O409" s="71" t="s">
        <v>125</v>
      </c>
      <c r="P409" s="88" t="s">
        <v>126</v>
      </c>
      <c r="Q409" s="71" t="s">
        <v>35</v>
      </c>
      <c r="R409" s="71" t="s">
        <v>127</v>
      </c>
      <c r="S409" s="9" t="s">
        <v>1405</v>
      </c>
    </row>
    <row r="410" spans="1:19" x14ac:dyDescent="0.25">
      <c r="A410" s="61" t="s">
        <v>1406</v>
      </c>
      <c r="B410" s="87" t="s">
        <v>1402</v>
      </c>
      <c r="C410" s="61" t="s">
        <v>1407</v>
      </c>
      <c r="D410" s="61" t="s">
        <v>53</v>
      </c>
      <c r="E410" s="61" t="s">
        <v>170</v>
      </c>
      <c r="F410" s="61" t="s">
        <v>55</v>
      </c>
      <c r="G410" s="54" t="s">
        <v>28</v>
      </c>
      <c r="H410" s="54" t="s">
        <v>56</v>
      </c>
      <c r="I410" s="57">
        <v>100</v>
      </c>
      <c r="J410" s="15" t="s">
        <v>1408</v>
      </c>
      <c r="K410" s="11" t="s">
        <v>32</v>
      </c>
      <c r="L410" s="11" t="s">
        <v>32</v>
      </c>
      <c r="M410" s="11" t="s">
        <v>32</v>
      </c>
      <c r="N410" s="73" t="s">
        <v>32</v>
      </c>
      <c r="O410" s="71" t="s">
        <v>125</v>
      </c>
      <c r="P410" s="88" t="s">
        <v>126</v>
      </c>
      <c r="Q410" s="71" t="s">
        <v>35</v>
      </c>
      <c r="R410" s="71" t="s">
        <v>127</v>
      </c>
      <c r="S410" s="24" t="s">
        <v>1405</v>
      </c>
    </row>
    <row r="411" spans="1:19" x14ac:dyDescent="0.25">
      <c r="A411" s="61" t="s">
        <v>1406</v>
      </c>
      <c r="B411" s="87" t="s">
        <v>1402</v>
      </c>
      <c r="C411" s="61" t="s">
        <v>1409</v>
      </c>
      <c r="D411" s="61" t="s">
        <v>53</v>
      </c>
      <c r="E411" s="61" t="s">
        <v>170</v>
      </c>
      <c r="F411" s="59" t="s">
        <v>867</v>
      </c>
      <c r="G411" s="54" t="s">
        <v>28</v>
      </c>
      <c r="H411" s="11" t="s">
        <v>42</v>
      </c>
      <c r="I411" s="57" t="s">
        <v>30</v>
      </c>
      <c r="J411" s="14" t="s">
        <v>1408</v>
      </c>
      <c r="K411" s="11" t="s">
        <v>32</v>
      </c>
      <c r="L411" s="11" t="s">
        <v>32</v>
      </c>
      <c r="M411" s="11" t="s">
        <v>32</v>
      </c>
      <c r="N411" s="73" t="s">
        <v>32</v>
      </c>
      <c r="O411" s="71" t="s">
        <v>174</v>
      </c>
      <c r="P411" s="88" t="s">
        <v>59</v>
      </c>
      <c r="Q411" s="71" t="s">
        <v>35</v>
      </c>
      <c r="R411" s="71" t="s">
        <v>223</v>
      </c>
      <c r="S411" s="9" t="str">
        <f>HYPERLINK(CONCATENATE("https://www.analog.com/", A411, "/datasheet"))</f>
        <v>https://www.analog.com/PM156S/datasheet</v>
      </c>
    </row>
    <row r="412" spans="1:19" x14ac:dyDescent="0.25">
      <c r="A412" s="61" t="s">
        <v>1406</v>
      </c>
      <c r="B412" s="87" t="s">
        <v>1402</v>
      </c>
      <c r="C412" s="61" t="s">
        <v>1410</v>
      </c>
      <c r="D412" s="61" t="s">
        <v>53</v>
      </c>
      <c r="E412" s="61" t="s">
        <v>170</v>
      </c>
      <c r="F412" s="59" t="s">
        <v>867</v>
      </c>
      <c r="G412" s="54" t="s">
        <v>28</v>
      </c>
      <c r="H412" s="11" t="s">
        <v>42</v>
      </c>
      <c r="I412" s="57" t="s">
        <v>30</v>
      </c>
      <c r="J412" s="14" t="s">
        <v>1408</v>
      </c>
      <c r="K412" s="11" t="s">
        <v>32</v>
      </c>
      <c r="L412" s="11" t="s">
        <v>32</v>
      </c>
      <c r="M412" s="11" t="s">
        <v>32</v>
      </c>
      <c r="N412" s="73" t="s">
        <v>32</v>
      </c>
      <c r="O412" s="71" t="s">
        <v>125</v>
      </c>
      <c r="P412" s="88" t="s">
        <v>126</v>
      </c>
      <c r="Q412" s="71" t="s">
        <v>35</v>
      </c>
      <c r="R412" s="71" t="s">
        <v>1226</v>
      </c>
      <c r="S412" s="9" t="str">
        <f>HYPERLINK(CONCATENATE("https://www.analog.com/", A412, "/datasheet"))</f>
        <v>https://www.analog.com/PM156S/datasheet</v>
      </c>
    </row>
    <row r="413" spans="1:19" x14ac:dyDescent="0.25">
      <c r="A413" s="61" t="s">
        <v>1406</v>
      </c>
      <c r="B413" s="87" t="s">
        <v>1402</v>
      </c>
      <c r="C413" s="61" t="s">
        <v>1411</v>
      </c>
      <c r="D413" s="61" t="s">
        <v>53</v>
      </c>
      <c r="E413" s="61" t="s">
        <v>170</v>
      </c>
      <c r="F413" s="59" t="s">
        <v>867</v>
      </c>
      <c r="G413" s="54" t="s">
        <v>28</v>
      </c>
      <c r="H413" s="11" t="s">
        <v>42</v>
      </c>
      <c r="I413" s="57" t="s">
        <v>30</v>
      </c>
      <c r="J413" s="14" t="s">
        <v>1408</v>
      </c>
      <c r="K413" s="11" t="s">
        <v>32</v>
      </c>
      <c r="L413" s="11" t="s">
        <v>32</v>
      </c>
      <c r="M413" s="11" t="s">
        <v>32</v>
      </c>
      <c r="N413" s="73" t="s">
        <v>32</v>
      </c>
      <c r="O413" s="71" t="s">
        <v>174</v>
      </c>
      <c r="P413" s="88" t="s">
        <v>59</v>
      </c>
      <c r="Q413" s="71" t="s">
        <v>35</v>
      </c>
      <c r="R413" s="71" t="s">
        <v>223</v>
      </c>
      <c r="S413" s="9" t="str">
        <f>HYPERLINK(CONCATENATE("https://www.analog.com/", A413, "/datasheet"))</f>
        <v>https://www.analog.com/PM156S/datasheet</v>
      </c>
    </row>
    <row r="414" spans="1:19" x14ac:dyDescent="0.25">
      <c r="A414" s="59" t="s">
        <v>1412</v>
      </c>
      <c r="B414" s="87" t="s">
        <v>1413</v>
      </c>
      <c r="C414" s="59" t="s">
        <v>1414</v>
      </c>
      <c r="D414" s="61" t="s">
        <v>68</v>
      </c>
      <c r="E414" s="61" t="s">
        <v>123</v>
      </c>
      <c r="F414" s="61" t="s">
        <v>55</v>
      </c>
      <c r="G414" s="54" t="s">
        <v>28</v>
      </c>
      <c r="H414" s="54" t="s">
        <v>56</v>
      </c>
      <c r="I414" s="55">
        <v>50</v>
      </c>
      <c r="J414" s="8" t="s">
        <v>1415</v>
      </c>
      <c r="K414" s="11" t="s">
        <v>32</v>
      </c>
      <c r="L414" s="11" t="s">
        <v>32</v>
      </c>
      <c r="M414" s="11" t="s">
        <v>32</v>
      </c>
      <c r="N414" s="73" t="s">
        <v>32</v>
      </c>
      <c r="O414" s="71" t="s">
        <v>217</v>
      </c>
      <c r="P414" s="88" t="s">
        <v>59</v>
      </c>
      <c r="Q414" s="71" t="s">
        <v>35</v>
      </c>
      <c r="R414" s="71" t="s">
        <v>218</v>
      </c>
      <c r="S414" s="24" t="s">
        <v>1416</v>
      </c>
    </row>
    <row r="415" spans="1:19" x14ac:dyDescent="0.25">
      <c r="A415" s="59" t="s">
        <v>1412</v>
      </c>
      <c r="B415" s="87" t="s">
        <v>1413</v>
      </c>
      <c r="C415" s="59" t="s">
        <v>1417</v>
      </c>
      <c r="D415" s="61" t="s">
        <v>68</v>
      </c>
      <c r="E415" s="61" t="s">
        <v>123</v>
      </c>
      <c r="F415" s="61" t="s">
        <v>55</v>
      </c>
      <c r="G415" s="54" t="s">
        <v>28</v>
      </c>
      <c r="H415" s="54" t="s">
        <v>56</v>
      </c>
      <c r="I415" s="55">
        <v>100</v>
      </c>
      <c r="J415" s="47" t="s">
        <v>1418</v>
      </c>
      <c r="K415" s="11" t="s">
        <v>32</v>
      </c>
      <c r="L415" s="11" t="s">
        <v>32</v>
      </c>
      <c r="M415" s="11" t="s">
        <v>32</v>
      </c>
      <c r="N415" s="73" t="s">
        <v>32</v>
      </c>
      <c r="O415" s="71" t="s">
        <v>58</v>
      </c>
      <c r="P415" s="88" t="s">
        <v>59</v>
      </c>
      <c r="Q415" s="71" t="s">
        <v>35</v>
      </c>
      <c r="R415" s="71" t="s">
        <v>320</v>
      </c>
      <c r="S415" s="24" t="s">
        <v>1416</v>
      </c>
    </row>
    <row r="416" spans="1:19" x14ac:dyDescent="0.25">
      <c r="A416" s="59" t="s">
        <v>1412</v>
      </c>
      <c r="B416" s="87" t="s">
        <v>1413</v>
      </c>
      <c r="C416" s="59" t="s">
        <v>1419</v>
      </c>
      <c r="D416" s="61" t="s">
        <v>68</v>
      </c>
      <c r="E416" s="61" t="s">
        <v>123</v>
      </c>
      <c r="F416" s="61" t="s">
        <v>55</v>
      </c>
      <c r="G416" s="54" t="s">
        <v>28</v>
      </c>
      <c r="H416" s="54" t="s">
        <v>56</v>
      </c>
      <c r="I416" s="55">
        <v>100</v>
      </c>
      <c r="J416" s="47" t="s">
        <v>1418</v>
      </c>
      <c r="K416" s="11" t="s">
        <v>32</v>
      </c>
      <c r="L416" s="11" t="s">
        <v>32</v>
      </c>
      <c r="M416" s="11" t="s">
        <v>32</v>
      </c>
      <c r="N416" s="73" t="s">
        <v>32</v>
      </c>
      <c r="O416" s="71" t="s">
        <v>125</v>
      </c>
      <c r="P416" s="88" t="s">
        <v>126</v>
      </c>
      <c r="Q416" s="71" t="s">
        <v>35</v>
      </c>
      <c r="R416" s="71" t="s">
        <v>127</v>
      </c>
      <c r="S416" s="24" t="s">
        <v>1416</v>
      </c>
    </row>
    <row r="417" spans="1:19" x14ac:dyDescent="0.25">
      <c r="A417" s="59" t="s">
        <v>1412</v>
      </c>
      <c r="B417" s="87" t="s">
        <v>1413</v>
      </c>
      <c r="C417" s="59" t="s">
        <v>1420</v>
      </c>
      <c r="D417" s="61" t="s">
        <v>68</v>
      </c>
      <c r="E417" s="61" t="s">
        <v>123</v>
      </c>
      <c r="F417" s="61" t="s">
        <v>55</v>
      </c>
      <c r="G417" s="54" t="s">
        <v>28</v>
      </c>
      <c r="H417" s="54" t="s">
        <v>56</v>
      </c>
      <c r="I417" s="55">
        <v>100</v>
      </c>
      <c r="J417" s="47" t="s">
        <v>1418</v>
      </c>
      <c r="K417" s="11" t="s">
        <v>32</v>
      </c>
      <c r="L417" s="11" t="s">
        <v>32</v>
      </c>
      <c r="M417" s="11" t="s">
        <v>32</v>
      </c>
      <c r="N417" s="73" t="s">
        <v>32</v>
      </c>
      <c r="O417" s="71" t="s">
        <v>217</v>
      </c>
      <c r="P417" s="88" t="s">
        <v>59</v>
      </c>
      <c r="Q417" s="71" t="s">
        <v>35</v>
      </c>
      <c r="R417" s="71" t="s">
        <v>218</v>
      </c>
      <c r="S417" s="24" t="s">
        <v>1416</v>
      </c>
    </row>
    <row r="418" spans="1:19" x14ac:dyDescent="0.25">
      <c r="A418" s="61" t="s">
        <v>1412</v>
      </c>
      <c r="B418" s="87" t="s">
        <v>1413</v>
      </c>
      <c r="C418" s="61" t="s">
        <v>1421</v>
      </c>
      <c r="D418" s="61" t="s">
        <v>68</v>
      </c>
      <c r="E418" s="61" t="s">
        <v>123</v>
      </c>
      <c r="F418" s="59" t="s">
        <v>76</v>
      </c>
      <c r="G418" s="54" t="s">
        <v>28</v>
      </c>
      <c r="H418" s="54" t="s">
        <v>29</v>
      </c>
      <c r="I418" s="55" t="s">
        <v>30</v>
      </c>
      <c r="J418" s="47" t="s">
        <v>1418</v>
      </c>
      <c r="K418" s="11" t="s">
        <v>32</v>
      </c>
      <c r="L418" s="11" t="s">
        <v>32</v>
      </c>
      <c r="M418" s="11" t="s">
        <v>32</v>
      </c>
      <c r="N418" s="73" t="s">
        <v>32</v>
      </c>
      <c r="O418" s="71" t="s">
        <v>77</v>
      </c>
      <c r="P418" s="79" t="s">
        <v>42</v>
      </c>
      <c r="Q418" s="79" t="s">
        <v>42</v>
      </c>
      <c r="R418" s="79" t="s">
        <v>42</v>
      </c>
      <c r="S418" s="9" t="str">
        <f>HYPERLINK(CONCATENATE("https://www.analog.com/", A418, "/datasheet"))</f>
        <v>https://www.analog.com/REF01S/datasheet</v>
      </c>
    </row>
    <row r="419" spans="1:19" x14ac:dyDescent="0.25">
      <c r="A419" s="59" t="s">
        <v>1422</v>
      </c>
      <c r="B419" s="87" t="s">
        <v>1423</v>
      </c>
      <c r="C419" s="59" t="s">
        <v>1424</v>
      </c>
      <c r="D419" s="61" t="s">
        <v>68</v>
      </c>
      <c r="E419" s="61" t="s">
        <v>123</v>
      </c>
      <c r="F419" s="61" t="s">
        <v>55</v>
      </c>
      <c r="G419" s="54" t="s">
        <v>28</v>
      </c>
      <c r="H419" s="54" t="s">
        <v>56</v>
      </c>
      <c r="I419" s="55">
        <v>50</v>
      </c>
      <c r="J419" s="8" t="s">
        <v>1425</v>
      </c>
      <c r="K419" s="11" t="s">
        <v>32</v>
      </c>
      <c r="L419" s="11" t="s">
        <v>32</v>
      </c>
      <c r="M419" s="11" t="s">
        <v>32</v>
      </c>
      <c r="N419" s="73" t="s">
        <v>32</v>
      </c>
      <c r="O419" s="71" t="s">
        <v>217</v>
      </c>
      <c r="P419" s="88" t="s">
        <v>59</v>
      </c>
      <c r="Q419" s="71" t="s">
        <v>35</v>
      </c>
      <c r="R419" s="71" t="s">
        <v>218</v>
      </c>
      <c r="S419" s="24" t="s">
        <v>1426</v>
      </c>
    </row>
    <row r="420" spans="1:19" x14ac:dyDescent="0.25">
      <c r="A420" s="59" t="s">
        <v>1422</v>
      </c>
      <c r="B420" s="87" t="s">
        <v>1423</v>
      </c>
      <c r="C420" s="59" t="s">
        <v>1427</v>
      </c>
      <c r="D420" s="61" t="s">
        <v>68</v>
      </c>
      <c r="E420" s="61" t="s">
        <v>123</v>
      </c>
      <c r="F420" s="61" t="s">
        <v>55</v>
      </c>
      <c r="G420" s="54" t="s">
        <v>28</v>
      </c>
      <c r="H420" s="54" t="s">
        <v>56</v>
      </c>
      <c r="I420" s="55">
        <v>100</v>
      </c>
      <c r="J420" s="22" t="s">
        <v>1428</v>
      </c>
      <c r="K420" s="11" t="s">
        <v>32</v>
      </c>
      <c r="L420" s="11" t="s">
        <v>32</v>
      </c>
      <c r="M420" s="11" t="s">
        <v>32</v>
      </c>
      <c r="N420" s="73" t="s">
        <v>32</v>
      </c>
      <c r="O420" s="71" t="s">
        <v>58</v>
      </c>
      <c r="P420" s="88" t="s">
        <v>59</v>
      </c>
      <c r="Q420" s="71" t="s">
        <v>35</v>
      </c>
      <c r="R420" s="71" t="s">
        <v>320</v>
      </c>
      <c r="S420" s="9" t="s">
        <v>1426</v>
      </c>
    </row>
    <row r="421" spans="1:19" x14ac:dyDescent="0.25">
      <c r="A421" s="59" t="s">
        <v>1422</v>
      </c>
      <c r="B421" s="87" t="s">
        <v>1423</v>
      </c>
      <c r="C421" s="59" t="s">
        <v>1429</v>
      </c>
      <c r="D421" s="61" t="s">
        <v>68</v>
      </c>
      <c r="E421" s="61" t="s">
        <v>123</v>
      </c>
      <c r="F421" s="61" t="s">
        <v>55</v>
      </c>
      <c r="G421" s="54" t="s">
        <v>28</v>
      </c>
      <c r="H421" s="54" t="s">
        <v>56</v>
      </c>
      <c r="I421" s="55">
        <v>100</v>
      </c>
      <c r="J421" s="22" t="s">
        <v>1428</v>
      </c>
      <c r="K421" s="11" t="s">
        <v>32</v>
      </c>
      <c r="L421" s="11" t="s">
        <v>32</v>
      </c>
      <c r="M421" s="11" t="s">
        <v>32</v>
      </c>
      <c r="N421" s="73" t="s">
        <v>32</v>
      </c>
      <c r="O421" s="71" t="s">
        <v>125</v>
      </c>
      <c r="P421" s="88" t="s">
        <v>126</v>
      </c>
      <c r="Q421" s="71" t="s">
        <v>35</v>
      </c>
      <c r="R421" s="71" t="s">
        <v>127</v>
      </c>
      <c r="S421" s="24" t="s">
        <v>1426</v>
      </c>
    </row>
    <row r="422" spans="1:19" x14ac:dyDescent="0.25">
      <c r="A422" s="59" t="s">
        <v>1422</v>
      </c>
      <c r="B422" s="87" t="s">
        <v>1423</v>
      </c>
      <c r="C422" s="59" t="s">
        <v>1430</v>
      </c>
      <c r="D422" s="61" t="s">
        <v>68</v>
      </c>
      <c r="E422" s="61" t="s">
        <v>123</v>
      </c>
      <c r="F422" s="61" t="s">
        <v>55</v>
      </c>
      <c r="G422" s="54" t="s">
        <v>28</v>
      </c>
      <c r="H422" s="54" t="s">
        <v>56</v>
      </c>
      <c r="I422" s="55">
        <v>100</v>
      </c>
      <c r="J422" s="22" t="s">
        <v>1428</v>
      </c>
      <c r="K422" s="11" t="s">
        <v>32</v>
      </c>
      <c r="L422" s="11" t="s">
        <v>32</v>
      </c>
      <c r="M422" s="11" t="s">
        <v>32</v>
      </c>
      <c r="N422" s="73" t="s">
        <v>32</v>
      </c>
      <c r="O422" s="71" t="s">
        <v>217</v>
      </c>
      <c r="P422" s="88" t="s">
        <v>59</v>
      </c>
      <c r="Q422" s="71" t="s">
        <v>35</v>
      </c>
      <c r="R422" s="71" t="s">
        <v>1431</v>
      </c>
      <c r="S422" s="24" t="s">
        <v>1426</v>
      </c>
    </row>
    <row r="423" spans="1:19" x14ac:dyDescent="0.25">
      <c r="A423" s="59" t="s">
        <v>1422</v>
      </c>
      <c r="B423" s="87" t="s">
        <v>1423</v>
      </c>
      <c r="C423" s="59" t="s">
        <v>1432</v>
      </c>
      <c r="D423" s="61" t="s">
        <v>68</v>
      </c>
      <c r="E423" s="61" t="s">
        <v>123</v>
      </c>
      <c r="F423" s="61" t="s">
        <v>55</v>
      </c>
      <c r="G423" s="54" t="s">
        <v>28</v>
      </c>
      <c r="H423" s="54" t="s">
        <v>56</v>
      </c>
      <c r="I423" s="55">
        <v>100</v>
      </c>
      <c r="J423" s="22" t="s">
        <v>1428</v>
      </c>
      <c r="K423" s="11" t="s">
        <v>32</v>
      </c>
      <c r="L423" s="11" t="s">
        <v>32</v>
      </c>
      <c r="M423" s="11" t="s">
        <v>32</v>
      </c>
      <c r="N423" s="73" t="s">
        <v>32</v>
      </c>
      <c r="O423" s="71" t="s">
        <v>174</v>
      </c>
      <c r="P423" s="88" t="s">
        <v>59</v>
      </c>
      <c r="Q423" s="71" t="s">
        <v>35</v>
      </c>
      <c r="R423" s="71" t="s">
        <v>223</v>
      </c>
      <c r="S423" s="24" t="s">
        <v>1426</v>
      </c>
    </row>
    <row r="424" spans="1:19" x14ac:dyDescent="0.25">
      <c r="A424" s="61" t="s">
        <v>1422</v>
      </c>
      <c r="B424" s="87" t="s">
        <v>1423</v>
      </c>
      <c r="C424" s="61" t="s">
        <v>1433</v>
      </c>
      <c r="D424" s="61" t="s">
        <v>68</v>
      </c>
      <c r="E424" s="61" t="s">
        <v>123</v>
      </c>
      <c r="F424" s="59" t="s">
        <v>76</v>
      </c>
      <c r="G424" s="54" t="s">
        <v>28</v>
      </c>
      <c r="H424" s="54" t="s">
        <v>29</v>
      </c>
      <c r="I424" s="55" t="s">
        <v>30</v>
      </c>
      <c r="J424" s="22" t="s">
        <v>1428</v>
      </c>
      <c r="K424" s="11" t="s">
        <v>32</v>
      </c>
      <c r="L424" s="11" t="s">
        <v>32</v>
      </c>
      <c r="M424" s="11" t="s">
        <v>32</v>
      </c>
      <c r="N424" s="73" t="s">
        <v>32</v>
      </c>
      <c r="O424" s="71" t="s">
        <v>77</v>
      </c>
      <c r="P424" s="79" t="s">
        <v>42</v>
      </c>
      <c r="Q424" s="79" t="s">
        <v>42</v>
      </c>
      <c r="R424" s="79" t="s">
        <v>42</v>
      </c>
      <c r="S424" s="9" t="str">
        <f>HYPERLINK(CONCATENATE("https://www.analog.com/", A424, "/datasheet"))</f>
        <v>https://www.analog.com/REF02S/datasheet</v>
      </c>
    </row>
    <row r="425" spans="1:19" x14ac:dyDescent="0.25">
      <c r="A425" s="59" t="s">
        <v>1434</v>
      </c>
      <c r="B425" s="87" t="s">
        <v>1435</v>
      </c>
      <c r="C425" s="59" t="s">
        <v>1436</v>
      </c>
      <c r="D425" s="61" t="s">
        <v>68</v>
      </c>
      <c r="E425" s="61" t="s">
        <v>123</v>
      </c>
      <c r="F425" s="61" t="s">
        <v>55</v>
      </c>
      <c r="G425" s="54" t="s">
        <v>28</v>
      </c>
      <c r="H425" s="54" t="s">
        <v>56</v>
      </c>
      <c r="I425" s="55">
        <v>50</v>
      </c>
      <c r="J425" s="8" t="s">
        <v>1437</v>
      </c>
      <c r="K425" s="11" t="s">
        <v>32</v>
      </c>
      <c r="L425" s="11" t="s">
        <v>32</v>
      </c>
      <c r="M425" s="11" t="s">
        <v>32</v>
      </c>
      <c r="N425" s="73" t="s">
        <v>32</v>
      </c>
      <c r="O425" s="71" t="s">
        <v>217</v>
      </c>
      <c r="P425" s="88" t="s">
        <v>59</v>
      </c>
      <c r="Q425" s="71" t="s">
        <v>35</v>
      </c>
      <c r="R425" s="71" t="s">
        <v>218</v>
      </c>
      <c r="S425" s="24" t="s">
        <v>1438</v>
      </c>
    </row>
    <row r="426" spans="1:19" x14ac:dyDescent="0.25">
      <c r="A426" s="59" t="s">
        <v>1434</v>
      </c>
      <c r="B426" s="87" t="s">
        <v>1435</v>
      </c>
      <c r="C426" s="59" t="s">
        <v>1439</v>
      </c>
      <c r="D426" s="61" t="s">
        <v>68</v>
      </c>
      <c r="E426" s="61" t="s">
        <v>123</v>
      </c>
      <c r="F426" s="61" t="s">
        <v>55</v>
      </c>
      <c r="G426" s="54" t="s">
        <v>28</v>
      </c>
      <c r="H426" s="54" t="s">
        <v>56</v>
      </c>
      <c r="I426" s="55">
        <v>100</v>
      </c>
      <c r="J426" s="8" t="s">
        <v>1440</v>
      </c>
      <c r="K426" s="11" t="s">
        <v>32</v>
      </c>
      <c r="L426" s="11" t="s">
        <v>32</v>
      </c>
      <c r="M426" s="11" t="s">
        <v>32</v>
      </c>
      <c r="N426" s="73" t="s">
        <v>32</v>
      </c>
      <c r="O426" s="71" t="s">
        <v>125</v>
      </c>
      <c r="P426" s="88" t="s">
        <v>126</v>
      </c>
      <c r="Q426" s="71" t="s">
        <v>35</v>
      </c>
      <c r="R426" s="71" t="s">
        <v>127</v>
      </c>
      <c r="S426" s="9" t="s">
        <v>1438</v>
      </c>
    </row>
    <row r="427" spans="1:19" x14ac:dyDescent="0.25">
      <c r="A427" s="59" t="s">
        <v>1434</v>
      </c>
      <c r="B427" s="87" t="s">
        <v>1435</v>
      </c>
      <c r="C427" s="59" t="s">
        <v>1441</v>
      </c>
      <c r="D427" s="61" t="s">
        <v>68</v>
      </c>
      <c r="E427" s="61" t="s">
        <v>123</v>
      </c>
      <c r="F427" s="61" t="s">
        <v>55</v>
      </c>
      <c r="G427" s="54" t="s">
        <v>28</v>
      </c>
      <c r="H427" s="54" t="s">
        <v>56</v>
      </c>
      <c r="I427" s="55">
        <v>100</v>
      </c>
      <c r="J427" s="22" t="s">
        <v>1440</v>
      </c>
      <c r="K427" s="11" t="s">
        <v>32</v>
      </c>
      <c r="L427" s="11" t="s">
        <v>32</v>
      </c>
      <c r="M427" s="11" t="s">
        <v>32</v>
      </c>
      <c r="N427" s="73" t="s">
        <v>32</v>
      </c>
      <c r="O427" s="71" t="s">
        <v>217</v>
      </c>
      <c r="P427" s="88" t="s">
        <v>59</v>
      </c>
      <c r="Q427" s="71" t="s">
        <v>35</v>
      </c>
      <c r="R427" s="71" t="s">
        <v>218</v>
      </c>
      <c r="S427" s="24" t="s">
        <v>1438</v>
      </c>
    </row>
    <row r="428" spans="1:19" x14ac:dyDescent="0.25">
      <c r="A428" s="59" t="s">
        <v>1434</v>
      </c>
      <c r="B428" s="87" t="s">
        <v>1435</v>
      </c>
      <c r="C428" s="59" t="s">
        <v>1442</v>
      </c>
      <c r="D428" s="61" t="s">
        <v>68</v>
      </c>
      <c r="E428" s="61" t="s">
        <v>123</v>
      </c>
      <c r="F428" s="61" t="s">
        <v>55</v>
      </c>
      <c r="G428" s="54" t="s">
        <v>28</v>
      </c>
      <c r="H428" s="54" t="s">
        <v>56</v>
      </c>
      <c r="I428" s="55">
        <v>100</v>
      </c>
      <c r="J428" s="22" t="s">
        <v>1440</v>
      </c>
      <c r="K428" s="11" t="s">
        <v>32</v>
      </c>
      <c r="L428" s="11" t="s">
        <v>32</v>
      </c>
      <c r="M428" s="11" t="s">
        <v>32</v>
      </c>
      <c r="N428" s="73" t="s">
        <v>32</v>
      </c>
      <c r="O428" s="71" t="s">
        <v>174</v>
      </c>
      <c r="P428" s="88" t="s">
        <v>59</v>
      </c>
      <c r="Q428" s="71" t="s">
        <v>35</v>
      </c>
      <c r="R428" s="71" t="s">
        <v>223</v>
      </c>
      <c r="S428" s="24" t="s">
        <v>1438</v>
      </c>
    </row>
    <row r="429" spans="1:19" x14ac:dyDescent="0.25">
      <c r="A429" s="59" t="s">
        <v>1443</v>
      </c>
      <c r="B429" s="87" t="s">
        <v>1413</v>
      </c>
      <c r="C429" s="59" t="s">
        <v>1444</v>
      </c>
      <c r="D429" s="61" t="s">
        <v>68</v>
      </c>
      <c r="E429" s="61" t="s">
        <v>123</v>
      </c>
      <c r="F429" s="61" t="s">
        <v>55</v>
      </c>
      <c r="G429" s="54" t="s">
        <v>28</v>
      </c>
      <c r="H429" s="54" t="s">
        <v>56</v>
      </c>
      <c r="I429" s="55">
        <v>100</v>
      </c>
      <c r="J429" s="8" t="s">
        <v>1445</v>
      </c>
      <c r="K429" s="11" t="s">
        <v>32</v>
      </c>
      <c r="L429" s="11" t="s">
        <v>32</v>
      </c>
      <c r="M429" s="11" t="s">
        <v>32</v>
      </c>
      <c r="N429" s="73" t="s">
        <v>32</v>
      </c>
      <c r="O429" s="71" t="s">
        <v>125</v>
      </c>
      <c r="P429" s="88" t="s">
        <v>126</v>
      </c>
      <c r="Q429" s="71" t="s">
        <v>35</v>
      </c>
      <c r="R429" s="71" t="s">
        <v>127</v>
      </c>
      <c r="S429" s="24" t="s">
        <v>1446</v>
      </c>
    </row>
    <row r="430" spans="1:19" x14ac:dyDescent="0.25">
      <c r="A430" s="59" t="s">
        <v>1443</v>
      </c>
      <c r="B430" s="87" t="s">
        <v>1413</v>
      </c>
      <c r="C430" s="59" t="s">
        <v>1447</v>
      </c>
      <c r="D430" s="61" t="s">
        <v>68</v>
      </c>
      <c r="E430" s="61" t="s">
        <v>123</v>
      </c>
      <c r="F430" s="61" t="s">
        <v>55</v>
      </c>
      <c r="G430" s="54" t="s">
        <v>28</v>
      </c>
      <c r="H430" s="54" t="s">
        <v>56</v>
      </c>
      <c r="I430" s="55">
        <v>100</v>
      </c>
      <c r="J430" s="8" t="s">
        <v>1445</v>
      </c>
      <c r="K430" s="11" t="s">
        <v>32</v>
      </c>
      <c r="L430" s="11" t="s">
        <v>32</v>
      </c>
      <c r="M430" s="11" t="s">
        <v>32</v>
      </c>
      <c r="N430" s="73" t="s">
        <v>32</v>
      </c>
      <c r="O430" s="71" t="s">
        <v>217</v>
      </c>
      <c r="P430" s="88" t="s">
        <v>59</v>
      </c>
      <c r="Q430" s="71" t="s">
        <v>35</v>
      </c>
      <c r="R430" s="71" t="s">
        <v>218</v>
      </c>
      <c r="S430" s="24" t="s">
        <v>1446</v>
      </c>
    </row>
    <row r="431" spans="1:19" x14ac:dyDescent="0.25">
      <c r="A431" s="59" t="s">
        <v>1448</v>
      </c>
      <c r="B431" s="87" t="s">
        <v>1449</v>
      </c>
      <c r="C431" s="59" t="s">
        <v>1450</v>
      </c>
      <c r="D431" s="61" t="s">
        <v>68</v>
      </c>
      <c r="E431" s="61" t="s">
        <v>123</v>
      </c>
      <c r="F431" s="61" t="s">
        <v>55</v>
      </c>
      <c r="G431" s="54" t="s">
        <v>28</v>
      </c>
      <c r="H431" s="54" t="s">
        <v>56</v>
      </c>
      <c r="I431" s="55">
        <v>50</v>
      </c>
      <c r="J431" s="8" t="s">
        <v>1451</v>
      </c>
      <c r="K431" s="11" t="s">
        <v>32</v>
      </c>
      <c r="L431" s="11" t="s">
        <v>32</v>
      </c>
      <c r="M431" s="90">
        <v>2000000000000</v>
      </c>
      <c r="N431" s="75" t="s">
        <v>1452</v>
      </c>
      <c r="O431" s="71" t="s">
        <v>217</v>
      </c>
      <c r="P431" s="88" t="s">
        <v>59</v>
      </c>
      <c r="Q431" s="71" t="s">
        <v>35</v>
      </c>
      <c r="R431" s="71" t="s">
        <v>218</v>
      </c>
      <c r="S431" s="24" t="s">
        <v>1453</v>
      </c>
    </row>
    <row r="432" spans="1:19" x14ac:dyDescent="0.25">
      <c r="A432" s="59" t="s">
        <v>1448</v>
      </c>
      <c r="B432" s="87" t="s">
        <v>1449</v>
      </c>
      <c r="C432" s="59" t="s">
        <v>1454</v>
      </c>
      <c r="D432" s="61" t="s">
        <v>68</v>
      </c>
      <c r="E432" s="61" t="s">
        <v>123</v>
      </c>
      <c r="F432" s="61" t="s">
        <v>55</v>
      </c>
      <c r="G432" s="54" t="s">
        <v>28</v>
      </c>
      <c r="H432" s="54" t="s">
        <v>56</v>
      </c>
      <c r="I432" s="55">
        <v>100</v>
      </c>
      <c r="J432" s="47" t="s">
        <v>1455</v>
      </c>
      <c r="K432" s="11" t="s">
        <v>32</v>
      </c>
      <c r="L432" s="11" t="s">
        <v>32</v>
      </c>
      <c r="M432" s="55">
        <v>2000000000000</v>
      </c>
      <c r="N432" s="75" t="s">
        <v>1452</v>
      </c>
      <c r="O432" s="71" t="s">
        <v>174</v>
      </c>
      <c r="P432" s="88" t="s">
        <v>59</v>
      </c>
      <c r="Q432" s="71" t="s">
        <v>35</v>
      </c>
      <c r="R432" s="71" t="s">
        <v>223</v>
      </c>
      <c r="S432" s="24" t="s">
        <v>1453</v>
      </c>
    </row>
    <row r="433" spans="1:19" x14ac:dyDescent="0.25">
      <c r="A433" s="59" t="s">
        <v>1448</v>
      </c>
      <c r="B433" s="87" t="s">
        <v>1449</v>
      </c>
      <c r="C433" s="59" t="s">
        <v>1456</v>
      </c>
      <c r="D433" s="61" t="s">
        <v>68</v>
      </c>
      <c r="E433" s="61" t="s">
        <v>123</v>
      </c>
      <c r="F433" s="61" t="s">
        <v>55</v>
      </c>
      <c r="G433" s="54" t="s">
        <v>28</v>
      </c>
      <c r="H433" s="54" t="s">
        <v>56</v>
      </c>
      <c r="I433" s="55">
        <v>100</v>
      </c>
      <c r="J433" s="47" t="s">
        <v>1455</v>
      </c>
      <c r="K433" s="11" t="s">
        <v>32</v>
      </c>
      <c r="L433" s="11" t="s">
        <v>32</v>
      </c>
      <c r="M433" s="90">
        <v>2000000000000</v>
      </c>
      <c r="N433" s="75" t="s">
        <v>1452</v>
      </c>
      <c r="O433" s="71" t="s">
        <v>217</v>
      </c>
      <c r="P433" s="88" t="s">
        <v>59</v>
      </c>
      <c r="Q433" s="71" t="s">
        <v>35</v>
      </c>
      <c r="R433" s="71" t="s">
        <v>218</v>
      </c>
      <c r="S433" s="24" t="s">
        <v>1453</v>
      </c>
    </row>
    <row r="434" spans="1:19" x14ac:dyDescent="0.25">
      <c r="A434" s="59" t="s">
        <v>1448</v>
      </c>
      <c r="B434" s="87" t="s">
        <v>1449</v>
      </c>
      <c r="C434" s="59" t="s">
        <v>1457</v>
      </c>
      <c r="D434" s="61" t="s">
        <v>68</v>
      </c>
      <c r="E434" s="61" t="s">
        <v>123</v>
      </c>
      <c r="F434" s="59" t="s">
        <v>27</v>
      </c>
      <c r="G434" s="54" t="s">
        <v>28</v>
      </c>
      <c r="H434" s="54" t="s">
        <v>29</v>
      </c>
      <c r="I434" s="57" t="s">
        <v>30</v>
      </c>
      <c r="J434" s="47" t="s">
        <v>1455</v>
      </c>
      <c r="K434" s="11" t="s">
        <v>32</v>
      </c>
      <c r="L434" s="11" t="s">
        <v>32</v>
      </c>
      <c r="M434" s="55">
        <v>2000000000002</v>
      </c>
      <c r="N434" s="75" t="s">
        <v>1452</v>
      </c>
      <c r="O434" s="71" t="s">
        <v>217</v>
      </c>
      <c r="P434" s="88" t="s">
        <v>59</v>
      </c>
      <c r="Q434" s="71" t="s">
        <v>35</v>
      </c>
      <c r="R434" s="71" t="s">
        <v>218</v>
      </c>
      <c r="S434" s="9" t="str">
        <f>HYPERLINK(CONCATENATE("https://www.analog.com/", A434, "/datasheet"))</f>
        <v>https://www.analog.com/REF43S/datasheet</v>
      </c>
    </row>
    <row r="435" spans="1:19" x14ac:dyDescent="0.25">
      <c r="A435" s="59" t="s">
        <v>1448</v>
      </c>
      <c r="B435" s="87" t="s">
        <v>1449</v>
      </c>
      <c r="C435" s="59" t="s">
        <v>1458</v>
      </c>
      <c r="D435" s="61" t="s">
        <v>68</v>
      </c>
      <c r="E435" s="61" t="s">
        <v>123</v>
      </c>
      <c r="F435" s="59" t="s">
        <v>27</v>
      </c>
      <c r="G435" s="54" t="s">
        <v>28</v>
      </c>
      <c r="H435" s="54" t="s">
        <v>29</v>
      </c>
      <c r="I435" s="57" t="s">
        <v>30</v>
      </c>
      <c r="J435" s="47" t="s">
        <v>1455</v>
      </c>
      <c r="K435" s="11" t="s">
        <v>32</v>
      </c>
      <c r="L435" s="11" t="s">
        <v>32</v>
      </c>
      <c r="M435" s="55">
        <v>2000000000003</v>
      </c>
      <c r="N435" s="75" t="s">
        <v>1452</v>
      </c>
      <c r="O435" s="71" t="s">
        <v>58</v>
      </c>
      <c r="P435" s="88" t="s">
        <v>59</v>
      </c>
      <c r="Q435" s="71" t="s">
        <v>35</v>
      </c>
      <c r="R435" s="71" t="s">
        <v>320</v>
      </c>
      <c r="S435" s="9" t="str">
        <f>HYPERLINK(CONCATENATE("https://www.analog.com/", A435, "/datasheet"))</f>
        <v>https://www.analog.com/REF43S/datasheet</v>
      </c>
    </row>
    <row r="436" spans="1:19" x14ac:dyDescent="0.25">
      <c r="A436" s="61" t="s">
        <v>1448</v>
      </c>
      <c r="B436" s="87" t="s">
        <v>1449</v>
      </c>
      <c r="C436" s="61" t="s">
        <v>1459</v>
      </c>
      <c r="D436" s="61" t="s">
        <v>68</v>
      </c>
      <c r="E436" s="61" t="s">
        <v>123</v>
      </c>
      <c r="F436" s="10" t="s">
        <v>41</v>
      </c>
      <c r="G436" s="54" t="s">
        <v>28</v>
      </c>
      <c r="H436" s="11" t="s">
        <v>42</v>
      </c>
      <c r="I436" s="11" t="s">
        <v>42</v>
      </c>
      <c r="J436" s="11" t="s">
        <v>42</v>
      </c>
      <c r="K436" s="11" t="s">
        <v>42</v>
      </c>
      <c r="L436" s="11" t="s">
        <v>42</v>
      </c>
      <c r="M436" s="11" t="s">
        <v>42</v>
      </c>
      <c r="N436" s="73" t="s">
        <v>42</v>
      </c>
      <c r="O436" s="71" t="s">
        <v>217</v>
      </c>
      <c r="P436" s="88" t="s">
        <v>59</v>
      </c>
      <c r="Q436" s="71" t="s">
        <v>35</v>
      </c>
      <c r="R436" s="71" t="s">
        <v>218</v>
      </c>
      <c r="S436" s="9" t="str">
        <f>HYPERLINK(CONCATENATE("https://www.analog.com/", A436, "/datasheet"))</f>
        <v>https://www.analog.com/REF43S/datasheet</v>
      </c>
    </row>
    <row r="437" spans="1:19" x14ac:dyDescent="0.25">
      <c r="A437" s="59" t="s">
        <v>1448</v>
      </c>
      <c r="B437" s="87" t="s">
        <v>1449</v>
      </c>
      <c r="C437" s="59" t="s">
        <v>1460</v>
      </c>
      <c r="D437" s="61" t="s">
        <v>68</v>
      </c>
      <c r="E437" s="61" t="s">
        <v>123</v>
      </c>
      <c r="F437" s="59" t="s">
        <v>27</v>
      </c>
      <c r="G437" s="54" t="s">
        <v>28</v>
      </c>
      <c r="H437" s="54" t="s">
        <v>56</v>
      </c>
      <c r="I437" s="55">
        <v>100</v>
      </c>
      <c r="J437" s="69" t="s">
        <v>1455</v>
      </c>
      <c r="K437" s="11" t="s">
        <v>32</v>
      </c>
      <c r="L437" s="16" t="s">
        <v>32</v>
      </c>
      <c r="M437" s="55">
        <v>2000000000000</v>
      </c>
      <c r="N437" s="75" t="s">
        <v>1452</v>
      </c>
      <c r="O437" s="71" t="s">
        <v>58</v>
      </c>
      <c r="P437" s="88" t="s">
        <v>59</v>
      </c>
      <c r="Q437" s="71" t="s">
        <v>35</v>
      </c>
      <c r="R437" s="71" t="s">
        <v>320</v>
      </c>
      <c r="S437" s="9" t="str">
        <f>HYPERLINK(CONCATENATE("https://www.analog.com/", A437, "/datasheet"))</f>
        <v>https://www.analog.com/REF43S/datasheet</v>
      </c>
    </row>
    <row r="438" spans="1:19" x14ac:dyDescent="0.25">
      <c r="A438" s="59" t="s">
        <v>1461</v>
      </c>
      <c r="B438" s="87" t="s">
        <v>1462</v>
      </c>
      <c r="C438" s="59" t="s">
        <v>1463</v>
      </c>
      <c r="D438" s="61" t="s">
        <v>68</v>
      </c>
      <c r="E438" s="61" t="s">
        <v>145</v>
      </c>
      <c r="F438" s="61" t="s">
        <v>1464</v>
      </c>
      <c r="G438" s="54" t="s">
        <v>28</v>
      </c>
      <c r="H438" s="54" t="s">
        <v>56</v>
      </c>
      <c r="I438" s="25">
        <v>100</v>
      </c>
      <c r="J438" s="8" t="s">
        <v>1465</v>
      </c>
      <c r="K438" s="11" t="s">
        <v>32</v>
      </c>
      <c r="L438" s="11" t="s">
        <v>32</v>
      </c>
      <c r="M438" s="26">
        <v>1000000000000</v>
      </c>
      <c r="N438" s="75" t="s">
        <v>1466</v>
      </c>
      <c r="O438" s="71" t="s">
        <v>77</v>
      </c>
      <c r="P438" s="79" t="s">
        <v>42</v>
      </c>
      <c r="Q438" s="79" t="s">
        <v>42</v>
      </c>
      <c r="R438" s="79" t="s">
        <v>42</v>
      </c>
      <c r="S438" s="24" t="s">
        <v>1467</v>
      </c>
    </row>
    <row r="439" spans="1:19" x14ac:dyDescent="0.25">
      <c r="A439" s="59" t="s">
        <v>1461</v>
      </c>
      <c r="B439" s="87" t="s">
        <v>1462</v>
      </c>
      <c r="C439" s="59" t="s">
        <v>1468</v>
      </c>
      <c r="D439" s="61" t="s">
        <v>68</v>
      </c>
      <c r="E439" s="61" t="s">
        <v>145</v>
      </c>
      <c r="F439" s="61" t="s">
        <v>55</v>
      </c>
      <c r="G439" s="54" t="s">
        <v>28</v>
      </c>
      <c r="H439" s="54" t="s">
        <v>56</v>
      </c>
      <c r="I439" s="25">
        <v>100</v>
      </c>
      <c r="J439" s="8" t="s">
        <v>1465</v>
      </c>
      <c r="K439" s="11" t="s">
        <v>32</v>
      </c>
      <c r="L439" s="11" t="s">
        <v>32</v>
      </c>
      <c r="M439" s="26">
        <v>1000000000000</v>
      </c>
      <c r="N439" s="75" t="s">
        <v>1466</v>
      </c>
      <c r="O439" s="71" t="s">
        <v>1469</v>
      </c>
      <c r="P439" s="88" t="s">
        <v>59</v>
      </c>
      <c r="Q439" s="71" t="s">
        <v>35</v>
      </c>
      <c r="R439" s="71" t="s">
        <v>1470</v>
      </c>
      <c r="S439" s="24" t="s">
        <v>1467</v>
      </c>
    </row>
    <row r="440" spans="1:19" x14ac:dyDescent="0.25">
      <c r="A440" s="59" t="s">
        <v>1461</v>
      </c>
      <c r="B440" s="87" t="s">
        <v>1462</v>
      </c>
      <c r="C440" s="59" t="s">
        <v>1471</v>
      </c>
      <c r="D440" s="61" t="s">
        <v>68</v>
      </c>
      <c r="E440" s="61" t="s">
        <v>145</v>
      </c>
      <c r="F440" s="61" t="s">
        <v>55</v>
      </c>
      <c r="G440" s="54" t="s">
        <v>28</v>
      </c>
      <c r="H440" s="54" t="s">
        <v>56</v>
      </c>
      <c r="I440" s="25">
        <v>100</v>
      </c>
      <c r="J440" s="22" t="s">
        <v>1465</v>
      </c>
      <c r="K440" s="11" t="s">
        <v>32</v>
      </c>
      <c r="L440" s="11" t="s">
        <v>32</v>
      </c>
      <c r="M440" s="55">
        <v>1000000000000</v>
      </c>
      <c r="N440" s="75" t="s">
        <v>1466</v>
      </c>
      <c r="O440" s="71" t="s">
        <v>1472</v>
      </c>
      <c r="P440" s="88" t="s">
        <v>126</v>
      </c>
      <c r="Q440" s="71" t="s">
        <v>43</v>
      </c>
      <c r="R440" s="71" t="s">
        <v>1473</v>
      </c>
      <c r="S440" s="24" t="s">
        <v>1467</v>
      </c>
    </row>
    <row r="441" spans="1:19" x14ac:dyDescent="0.25">
      <c r="A441" s="61" t="s">
        <v>1461</v>
      </c>
      <c r="B441" s="87" t="s">
        <v>1462</v>
      </c>
      <c r="C441" s="61" t="s">
        <v>1474</v>
      </c>
      <c r="D441" s="61" t="s">
        <v>68</v>
      </c>
      <c r="E441" s="61" t="s">
        <v>145</v>
      </c>
      <c r="F441" s="59" t="s">
        <v>76</v>
      </c>
      <c r="G441" s="54" t="s">
        <v>28</v>
      </c>
      <c r="H441" s="54" t="s">
        <v>56</v>
      </c>
      <c r="I441" s="25">
        <v>100</v>
      </c>
      <c r="J441" s="8" t="s">
        <v>1465</v>
      </c>
      <c r="K441" s="11" t="s">
        <v>32</v>
      </c>
      <c r="L441" s="11" t="s">
        <v>32</v>
      </c>
      <c r="M441" s="26">
        <v>1000000000001</v>
      </c>
      <c r="N441" s="75" t="s">
        <v>1466</v>
      </c>
      <c r="O441" s="71" t="s">
        <v>77</v>
      </c>
      <c r="P441" s="79" t="s">
        <v>42</v>
      </c>
      <c r="Q441" s="79" t="s">
        <v>42</v>
      </c>
      <c r="R441" s="79" t="s">
        <v>42</v>
      </c>
      <c r="S441" s="9" t="str">
        <f t="shared" ref="S441:S448" si="6">HYPERLINK(CONCATENATE("https://www.analog.com/", A441, "/datasheet"))</f>
        <v>https://www.analog.com/RH1009/datasheet</v>
      </c>
    </row>
    <row r="442" spans="1:19" x14ac:dyDescent="0.25">
      <c r="A442" s="59" t="s">
        <v>1461</v>
      </c>
      <c r="B442" s="87" t="s">
        <v>1462</v>
      </c>
      <c r="C442" s="59" t="s">
        <v>1475</v>
      </c>
      <c r="D442" s="61" t="s">
        <v>68</v>
      </c>
      <c r="E442" s="61" t="s">
        <v>145</v>
      </c>
      <c r="F442" s="59" t="s">
        <v>55</v>
      </c>
      <c r="G442" s="54" t="s">
        <v>28</v>
      </c>
      <c r="H442" s="54" t="s">
        <v>56</v>
      </c>
      <c r="I442" s="25">
        <v>100</v>
      </c>
      <c r="J442" s="8" t="s">
        <v>1465</v>
      </c>
      <c r="K442" s="11" t="s">
        <v>32</v>
      </c>
      <c r="L442" s="11" t="s">
        <v>32</v>
      </c>
      <c r="M442" s="26">
        <v>1000000000000</v>
      </c>
      <c r="N442" s="75" t="s">
        <v>1466</v>
      </c>
      <c r="O442" s="71" t="s">
        <v>1472</v>
      </c>
      <c r="P442" s="88" t="s">
        <v>126</v>
      </c>
      <c r="Q442" s="71" t="s">
        <v>35</v>
      </c>
      <c r="R442" s="71" t="s">
        <v>1473</v>
      </c>
      <c r="S442" s="9" t="str">
        <f t="shared" si="6"/>
        <v>https://www.analog.com/RH1009/datasheet</v>
      </c>
    </row>
    <row r="443" spans="1:19" x14ac:dyDescent="0.25">
      <c r="A443" s="61" t="s">
        <v>1461</v>
      </c>
      <c r="B443" s="87" t="s">
        <v>1462</v>
      </c>
      <c r="C443" s="61" t="s">
        <v>1476</v>
      </c>
      <c r="D443" s="61" t="s">
        <v>68</v>
      </c>
      <c r="E443" s="61" t="s">
        <v>145</v>
      </c>
      <c r="F443" s="10" t="s">
        <v>41</v>
      </c>
      <c r="G443" s="54" t="s">
        <v>28</v>
      </c>
      <c r="H443" s="11" t="s">
        <v>42</v>
      </c>
      <c r="I443" s="11" t="s">
        <v>42</v>
      </c>
      <c r="J443" s="11" t="s">
        <v>42</v>
      </c>
      <c r="K443" s="11" t="s">
        <v>42</v>
      </c>
      <c r="L443" s="11" t="s">
        <v>42</v>
      </c>
      <c r="M443" s="11" t="s">
        <v>42</v>
      </c>
      <c r="N443" s="73" t="s">
        <v>42</v>
      </c>
      <c r="O443" s="71" t="s">
        <v>1472</v>
      </c>
      <c r="P443" s="88" t="s">
        <v>126</v>
      </c>
      <c r="Q443" s="71" t="s">
        <v>35</v>
      </c>
      <c r="R443" s="71" t="s">
        <v>1473</v>
      </c>
      <c r="S443" s="9" t="str">
        <f t="shared" si="6"/>
        <v>https://www.analog.com/RH1009/datasheet</v>
      </c>
    </row>
    <row r="444" spans="1:19" x14ac:dyDescent="0.25">
      <c r="A444" s="59" t="s">
        <v>1461</v>
      </c>
      <c r="B444" s="87" t="s">
        <v>1462</v>
      </c>
      <c r="C444" s="59" t="s">
        <v>1477</v>
      </c>
      <c r="D444" s="61" t="s">
        <v>68</v>
      </c>
      <c r="E444" s="61" t="s">
        <v>145</v>
      </c>
      <c r="F444" s="59" t="s">
        <v>55</v>
      </c>
      <c r="G444" s="54" t="s">
        <v>28</v>
      </c>
      <c r="H444" s="54" t="s">
        <v>56</v>
      </c>
      <c r="I444" s="25">
        <v>100</v>
      </c>
      <c r="J444" s="8" t="s">
        <v>1465</v>
      </c>
      <c r="K444" s="11" t="s">
        <v>32</v>
      </c>
      <c r="L444" s="11" t="s">
        <v>32</v>
      </c>
      <c r="M444" s="26">
        <v>1000000000000</v>
      </c>
      <c r="N444" s="75" t="s">
        <v>1466</v>
      </c>
      <c r="O444" s="71" t="s">
        <v>1469</v>
      </c>
      <c r="P444" s="88" t="s">
        <v>59</v>
      </c>
      <c r="Q444" s="71" t="s">
        <v>35</v>
      </c>
      <c r="R444" s="71" t="s">
        <v>1470</v>
      </c>
      <c r="S444" s="9" t="str">
        <f t="shared" si="6"/>
        <v>https://www.analog.com/RH1009/datasheet</v>
      </c>
    </row>
    <row r="445" spans="1:19" x14ac:dyDescent="0.25">
      <c r="A445" s="61" t="s">
        <v>1478</v>
      </c>
      <c r="B445" s="87" t="s">
        <v>1479</v>
      </c>
      <c r="C445" s="61" t="s">
        <v>1480</v>
      </c>
      <c r="D445" s="61" t="s">
        <v>68</v>
      </c>
      <c r="E445" s="61" t="s">
        <v>347</v>
      </c>
      <c r="F445" s="59" t="s">
        <v>76</v>
      </c>
      <c r="G445" s="54" t="s">
        <v>28</v>
      </c>
      <c r="H445" s="54" t="s">
        <v>56</v>
      </c>
      <c r="I445" s="55">
        <v>100</v>
      </c>
      <c r="J445" s="8" t="s">
        <v>1481</v>
      </c>
      <c r="K445" s="55">
        <v>114</v>
      </c>
      <c r="L445" s="13" t="s">
        <v>1482</v>
      </c>
      <c r="M445" s="11" t="s">
        <v>32</v>
      </c>
      <c r="N445" s="73" t="s">
        <v>32</v>
      </c>
      <c r="O445" s="71" t="s">
        <v>77</v>
      </c>
      <c r="P445" s="79" t="s">
        <v>42</v>
      </c>
      <c r="Q445" s="79" t="s">
        <v>42</v>
      </c>
      <c r="R445" s="79" t="s">
        <v>42</v>
      </c>
      <c r="S445" s="9" t="str">
        <f t="shared" si="6"/>
        <v>https://www.analog.com/RH1011/datasheet</v>
      </c>
    </row>
    <row r="446" spans="1:19" x14ac:dyDescent="0.25">
      <c r="A446" s="59" t="s">
        <v>1478</v>
      </c>
      <c r="B446" s="87" t="s">
        <v>1479</v>
      </c>
      <c r="C446" s="59" t="s">
        <v>1483</v>
      </c>
      <c r="D446" s="61" t="s">
        <v>68</v>
      </c>
      <c r="E446" s="61" t="s">
        <v>347</v>
      </c>
      <c r="F446" s="59" t="s">
        <v>55</v>
      </c>
      <c r="G446" s="54" t="s">
        <v>28</v>
      </c>
      <c r="H446" s="54" t="s">
        <v>56</v>
      </c>
      <c r="I446" s="55">
        <v>100</v>
      </c>
      <c r="J446" s="8" t="s">
        <v>1481</v>
      </c>
      <c r="K446" s="55">
        <v>114</v>
      </c>
      <c r="L446" s="13" t="s">
        <v>1482</v>
      </c>
      <c r="M446" s="11" t="s">
        <v>32</v>
      </c>
      <c r="N446" s="73" t="s">
        <v>32</v>
      </c>
      <c r="O446" s="71" t="s">
        <v>1484</v>
      </c>
      <c r="P446" s="88" t="s">
        <v>126</v>
      </c>
      <c r="Q446" s="71" t="s">
        <v>35</v>
      </c>
      <c r="R446" s="71" t="s">
        <v>1485</v>
      </c>
      <c r="S446" s="9" t="str">
        <f t="shared" si="6"/>
        <v>https://www.analog.com/RH1011/datasheet</v>
      </c>
    </row>
    <row r="447" spans="1:19" x14ac:dyDescent="0.25">
      <c r="A447" s="59" t="s">
        <v>1478</v>
      </c>
      <c r="B447" s="87" t="s">
        <v>1479</v>
      </c>
      <c r="C447" s="59" t="s">
        <v>1486</v>
      </c>
      <c r="D447" s="61" t="s">
        <v>68</v>
      </c>
      <c r="E447" s="61" t="s">
        <v>347</v>
      </c>
      <c r="F447" s="59" t="s">
        <v>55</v>
      </c>
      <c r="G447" s="54" t="s">
        <v>28</v>
      </c>
      <c r="H447" s="54" t="s">
        <v>56</v>
      </c>
      <c r="I447" s="55">
        <v>100</v>
      </c>
      <c r="J447" s="8" t="s">
        <v>1481</v>
      </c>
      <c r="K447" s="55">
        <v>114</v>
      </c>
      <c r="L447" s="13" t="s">
        <v>1482</v>
      </c>
      <c r="M447" s="11" t="s">
        <v>32</v>
      </c>
      <c r="N447" s="73" t="s">
        <v>32</v>
      </c>
      <c r="O447" s="71" t="s">
        <v>1469</v>
      </c>
      <c r="P447" s="88" t="s">
        <v>59</v>
      </c>
      <c r="Q447" s="71" t="s">
        <v>35</v>
      </c>
      <c r="R447" s="71" t="s">
        <v>1470</v>
      </c>
      <c r="S447" s="9" t="str">
        <f t="shared" si="6"/>
        <v>https://www.analog.com/RH1011/datasheet</v>
      </c>
    </row>
    <row r="448" spans="1:19" x14ac:dyDescent="0.25">
      <c r="A448" s="59" t="s">
        <v>1478</v>
      </c>
      <c r="B448" s="87" t="s">
        <v>1479</v>
      </c>
      <c r="C448" s="59" t="s">
        <v>1487</v>
      </c>
      <c r="D448" s="61" t="s">
        <v>68</v>
      </c>
      <c r="E448" s="61" t="s">
        <v>347</v>
      </c>
      <c r="F448" s="10" t="s">
        <v>41</v>
      </c>
      <c r="G448" s="54" t="s">
        <v>28</v>
      </c>
      <c r="H448" s="11" t="s">
        <v>42</v>
      </c>
      <c r="I448" s="11" t="s">
        <v>42</v>
      </c>
      <c r="J448" s="16" t="s">
        <v>42</v>
      </c>
      <c r="K448" s="11" t="s">
        <v>42</v>
      </c>
      <c r="L448" s="11" t="s">
        <v>42</v>
      </c>
      <c r="M448" s="11" t="s">
        <v>42</v>
      </c>
      <c r="N448" s="73" t="s">
        <v>42</v>
      </c>
      <c r="O448" s="71" t="s">
        <v>1469</v>
      </c>
      <c r="P448" s="88" t="s">
        <v>59</v>
      </c>
      <c r="Q448" s="71" t="s">
        <v>35</v>
      </c>
      <c r="R448" s="71" t="s">
        <v>1470</v>
      </c>
      <c r="S448" s="9" t="str">
        <f t="shared" si="6"/>
        <v>https://www.analog.com/RH1011/datasheet</v>
      </c>
    </row>
    <row r="449" spans="1:19" x14ac:dyDescent="0.25">
      <c r="A449" s="61" t="s">
        <v>1488</v>
      </c>
      <c r="B449" s="87" t="s">
        <v>1489</v>
      </c>
      <c r="C449" s="61" t="s">
        <v>1490</v>
      </c>
      <c r="D449" s="61" t="s">
        <v>53</v>
      </c>
      <c r="E449" s="61" t="s">
        <v>1491</v>
      </c>
      <c r="F449" s="61" t="s">
        <v>1464</v>
      </c>
      <c r="G449" s="54" t="s">
        <v>28</v>
      </c>
      <c r="H449" s="54" t="s">
        <v>56</v>
      </c>
      <c r="I449" s="25">
        <v>100</v>
      </c>
      <c r="J449" s="8" t="s">
        <v>1492</v>
      </c>
      <c r="K449" s="11" t="s">
        <v>32</v>
      </c>
      <c r="L449" s="11" t="s">
        <v>32</v>
      </c>
      <c r="M449" s="11" t="s">
        <v>32</v>
      </c>
      <c r="N449" s="73" t="s">
        <v>32</v>
      </c>
      <c r="O449" s="71" t="s">
        <v>77</v>
      </c>
      <c r="P449" s="79" t="s">
        <v>42</v>
      </c>
      <c r="Q449" s="79" t="s">
        <v>42</v>
      </c>
      <c r="R449" s="79" t="s">
        <v>42</v>
      </c>
      <c r="S449" s="24" t="s">
        <v>1493</v>
      </c>
    </row>
    <row r="450" spans="1:19" x14ac:dyDescent="0.25">
      <c r="A450" s="59" t="s">
        <v>1488</v>
      </c>
      <c r="B450" s="87" t="s">
        <v>1489</v>
      </c>
      <c r="C450" s="61" t="s">
        <v>1494</v>
      </c>
      <c r="D450" s="61" t="s">
        <v>53</v>
      </c>
      <c r="E450" s="61" t="s">
        <v>1491</v>
      </c>
      <c r="F450" s="61" t="s">
        <v>55</v>
      </c>
      <c r="G450" s="54" t="s">
        <v>28</v>
      </c>
      <c r="H450" s="54" t="s">
        <v>56</v>
      </c>
      <c r="I450" s="25">
        <v>100</v>
      </c>
      <c r="J450" s="8" t="s">
        <v>1492</v>
      </c>
      <c r="K450" s="11" t="s">
        <v>32</v>
      </c>
      <c r="L450" s="11" t="s">
        <v>32</v>
      </c>
      <c r="M450" s="11" t="s">
        <v>32</v>
      </c>
      <c r="N450" s="73" t="s">
        <v>32</v>
      </c>
      <c r="O450" s="71" t="s">
        <v>1469</v>
      </c>
      <c r="P450" s="88" t="s">
        <v>59</v>
      </c>
      <c r="Q450" s="71" t="s">
        <v>35</v>
      </c>
      <c r="R450" s="71" t="s">
        <v>1470</v>
      </c>
      <c r="S450" s="24" t="s">
        <v>1493</v>
      </c>
    </row>
    <row r="451" spans="1:19" x14ac:dyDescent="0.25">
      <c r="A451" s="23" t="s">
        <v>1488</v>
      </c>
      <c r="B451" s="87" t="s">
        <v>1489</v>
      </c>
      <c r="C451" s="61" t="s">
        <v>1495</v>
      </c>
      <c r="D451" s="61" t="s">
        <v>53</v>
      </c>
      <c r="E451" s="61" t="s">
        <v>1491</v>
      </c>
      <c r="F451" s="59" t="s">
        <v>76</v>
      </c>
      <c r="G451" s="54" t="s">
        <v>28</v>
      </c>
      <c r="H451" s="54" t="s">
        <v>56</v>
      </c>
      <c r="I451" s="55">
        <v>100</v>
      </c>
      <c r="J451" s="14" t="s">
        <v>1496</v>
      </c>
      <c r="K451" s="11" t="s">
        <v>32</v>
      </c>
      <c r="L451" s="11" t="s">
        <v>32</v>
      </c>
      <c r="M451" s="11" t="s">
        <v>32</v>
      </c>
      <c r="N451" s="73" t="s">
        <v>32</v>
      </c>
      <c r="O451" s="71" t="s">
        <v>77</v>
      </c>
      <c r="P451" s="79" t="s">
        <v>42</v>
      </c>
      <c r="Q451" s="79" t="s">
        <v>42</v>
      </c>
      <c r="R451" s="79" t="s">
        <v>42</v>
      </c>
      <c r="S451" s="9" t="str">
        <f>HYPERLINK(CONCATENATE("https://www.analog.com/", A451, "/datasheet"))</f>
        <v>https://www.analog.com/RH1013M/datasheet</v>
      </c>
    </row>
    <row r="452" spans="1:19" x14ac:dyDescent="0.25">
      <c r="A452" s="59" t="s">
        <v>1488</v>
      </c>
      <c r="B452" s="87" t="s">
        <v>1489</v>
      </c>
      <c r="C452" s="61" t="s">
        <v>1497</v>
      </c>
      <c r="D452" s="61" t="s">
        <v>53</v>
      </c>
      <c r="E452" s="61" t="s">
        <v>1491</v>
      </c>
      <c r="F452" s="59" t="s">
        <v>55</v>
      </c>
      <c r="G452" s="54" t="s">
        <v>28</v>
      </c>
      <c r="H452" s="54" t="s">
        <v>56</v>
      </c>
      <c r="I452" s="55">
        <v>100</v>
      </c>
      <c r="J452" s="8" t="s">
        <v>1492</v>
      </c>
      <c r="K452" s="11" t="s">
        <v>32</v>
      </c>
      <c r="L452" s="11" t="s">
        <v>32</v>
      </c>
      <c r="M452" s="11" t="s">
        <v>32</v>
      </c>
      <c r="N452" s="73" t="s">
        <v>32</v>
      </c>
      <c r="O452" s="71" t="s">
        <v>1484</v>
      </c>
      <c r="P452" s="88" t="s">
        <v>126</v>
      </c>
      <c r="Q452" s="71" t="s">
        <v>35</v>
      </c>
      <c r="R452" s="71" t="s">
        <v>1485</v>
      </c>
      <c r="S452" s="9" t="str">
        <f>HYPERLINK(CONCATENATE("https://www.analog.com/", A452, "/datasheet"))</f>
        <v>https://www.analog.com/RH1013M/datasheet</v>
      </c>
    </row>
    <row r="453" spans="1:19" x14ac:dyDescent="0.25">
      <c r="A453" s="59" t="s">
        <v>1488</v>
      </c>
      <c r="B453" s="87" t="s">
        <v>1489</v>
      </c>
      <c r="C453" s="61" t="s">
        <v>1498</v>
      </c>
      <c r="D453" s="61" t="s">
        <v>53</v>
      </c>
      <c r="E453" s="61" t="s">
        <v>1491</v>
      </c>
      <c r="F453" s="59" t="s">
        <v>55</v>
      </c>
      <c r="G453" s="54" t="s">
        <v>28</v>
      </c>
      <c r="H453" s="54" t="s">
        <v>56</v>
      </c>
      <c r="I453" s="55">
        <v>100</v>
      </c>
      <c r="J453" s="8" t="s">
        <v>1492</v>
      </c>
      <c r="K453" s="11" t="s">
        <v>32</v>
      </c>
      <c r="L453" s="11" t="s">
        <v>32</v>
      </c>
      <c r="M453" s="11" t="s">
        <v>32</v>
      </c>
      <c r="N453" s="73" t="s">
        <v>32</v>
      </c>
      <c r="O453" s="71" t="s">
        <v>1469</v>
      </c>
      <c r="P453" s="88" t="s">
        <v>59</v>
      </c>
      <c r="Q453" s="71" t="s">
        <v>35</v>
      </c>
      <c r="R453" s="71" t="s">
        <v>1470</v>
      </c>
      <c r="S453" s="9" t="str">
        <f>HYPERLINK(CONCATENATE("https://www.analog.com/", A453, "/datasheet"))</f>
        <v>https://www.analog.com/RH1013M/datasheet</v>
      </c>
    </row>
    <row r="454" spans="1:19" x14ac:dyDescent="0.25">
      <c r="A454" s="61" t="s">
        <v>1488</v>
      </c>
      <c r="B454" s="87" t="s">
        <v>1489</v>
      </c>
      <c r="C454" s="61" t="s">
        <v>1499</v>
      </c>
      <c r="D454" s="61" t="s">
        <v>53</v>
      </c>
      <c r="E454" s="61" t="s">
        <v>1491</v>
      </c>
      <c r="F454" s="10" t="s">
        <v>41</v>
      </c>
      <c r="G454" s="54" t="s">
        <v>28</v>
      </c>
      <c r="H454" s="11" t="s">
        <v>42</v>
      </c>
      <c r="I454" s="11" t="s">
        <v>42</v>
      </c>
      <c r="J454" s="11" t="s">
        <v>42</v>
      </c>
      <c r="K454" s="11" t="s">
        <v>42</v>
      </c>
      <c r="L454" s="11" t="s">
        <v>42</v>
      </c>
      <c r="M454" s="11" t="s">
        <v>42</v>
      </c>
      <c r="N454" s="73" t="s">
        <v>42</v>
      </c>
      <c r="O454" s="71" t="s">
        <v>1469</v>
      </c>
      <c r="P454" s="88" t="s">
        <v>59</v>
      </c>
      <c r="Q454" s="71" t="s">
        <v>35</v>
      </c>
      <c r="R454" s="71" t="s">
        <v>1470</v>
      </c>
      <c r="S454" s="9" t="str">
        <f>HYPERLINK(CONCATENATE("https://www.analog.com/", A454, "/datasheet"))</f>
        <v>https://www.analog.com/RH1013M/datasheet</v>
      </c>
    </row>
    <row r="455" spans="1:19" x14ac:dyDescent="0.25">
      <c r="A455" s="40" t="s">
        <v>1500</v>
      </c>
      <c r="B455" s="87" t="s">
        <v>1501</v>
      </c>
      <c r="C455" s="61" t="s">
        <v>1502</v>
      </c>
      <c r="D455" s="61" t="s">
        <v>53</v>
      </c>
      <c r="E455" s="61" t="s">
        <v>1491</v>
      </c>
      <c r="F455" s="61" t="s">
        <v>55</v>
      </c>
      <c r="G455" s="54" t="s">
        <v>28</v>
      </c>
      <c r="H455" s="54" t="s">
        <v>56</v>
      </c>
      <c r="I455" s="25">
        <v>100</v>
      </c>
      <c r="J455" s="8" t="s">
        <v>1503</v>
      </c>
      <c r="K455" s="11" t="s">
        <v>32</v>
      </c>
      <c r="L455" s="11" t="s">
        <v>32</v>
      </c>
      <c r="M455" s="11" t="s">
        <v>32</v>
      </c>
      <c r="N455" s="73" t="s">
        <v>32</v>
      </c>
      <c r="O455" s="71" t="s">
        <v>1504</v>
      </c>
      <c r="P455" s="88" t="s">
        <v>34</v>
      </c>
      <c r="Q455" s="71" t="s">
        <v>35</v>
      </c>
      <c r="R455" s="71" t="s">
        <v>1505</v>
      </c>
      <c r="S455" s="24" t="s">
        <v>1506</v>
      </c>
    </row>
    <row r="456" spans="1:19" x14ac:dyDescent="0.25">
      <c r="A456" s="59" t="s">
        <v>1500</v>
      </c>
      <c r="B456" s="87" t="s">
        <v>1501</v>
      </c>
      <c r="C456" s="61" t="s">
        <v>1507</v>
      </c>
      <c r="D456" s="61" t="s">
        <v>53</v>
      </c>
      <c r="E456" s="61" t="s">
        <v>1491</v>
      </c>
      <c r="F456" s="59" t="s">
        <v>55</v>
      </c>
      <c r="G456" s="54" t="s">
        <v>28</v>
      </c>
      <c r="H456" s="54" t="s">
        <v>56</v>
      </c>
      <c r="I456" s="55">
        <v>100</v>
      </c>
      <c r="J456" s="8" t="s">
        <v>1503</v>
      </c>
      <c r="K456" s="25">
        <v>91</v>
      </c>
      <c r="L456" s="14" t="s">
        <v>1508</v>
      </c>
      <c r="M456" s="11" t="s">
        <v>32</v>
      </c>
      <c r="N456" s="73" t="s">
        <v>32</v>
      </c>
      <c r="O456" s="71" t="s">
        <v>1504</v>
      </c>
      <c r="P456" s="88" t="s">
        <v>34</v>
      </c>
      <c r="Q456" s="71" t="s">
        <v>35</v>
      </c>
      <c r="R456" s="71" t="s">
        <v>1505</v>
      </c>
      <c r="S456" s="9" t="str">
        <f>HYPERLINK(CONCATENATE("https://www.analog.com/", A456, "/datasheet"))</f>
        <v>https://www.analog.com/RH1014M/datasheet</v>
      </c>
    </row>
    <row r="457" spans="1:19" x14ac:dyDescent="0.25">
      <c r="A457" s="59" t="s">
        <v>1500</v>
      </c>
      <c r="B457" s="87" t="s">
        <v>1501</v>
      </c>
      <c r="C457" s="61" t="s">
        <v>1509</v>
      </c>
      <c r="D457" s="61" t="s">
        <v>53</v>
      </c>
      <c r="E457" s="61" t="s">
        <v>1491</v>
      </c>
      <c r="F457" s="10" t="s">
        <v>41</v>
      </c>
      <c r="G457" s="54" t="s">
        <v>28</v>
      </c>
      <c r="H457" s="11" t="s">
        <v>42</v>
      </c>
      <c r="I457" s="11" t="s">
        <v>42</v>
      </c>
      <c r="J457" s="11" t="s">
        <v>42</v>
      </c>
      <c r="K457" s="11" t="s">
        <v>42</v>
      </c>
      <c r="L457" s="16" t="s">
        <v>42</v>
      </c>
      <c r="M457" s="11" t="s">
        <v>42</v>
      </c>
      <c r="N457" s="73" t="s">
        <v>42</v>
      </c>
      <c r="O457" s="71" t="s">
        <v>1504</v>
      </c>
      <c r="P457" s="88" t="s">
        <v>34</v>
      </c>
      <c r="Q457" s="71" t="s">
        <v>35</v>
      </c>
      <c r="R457" s="71" t="s">
        <v>1505</v>
      </c>
      <c r="S457" s="9" t="str">
        <f>HYPERLINK(CONCATENATE("https://www.analog.com/", A457, "/datasheet"))</f>
        <v>https://www.analog.com/RH1014M/datasheet</v>
      </c>
    </row>
    <row r="458" spans="1:19" x14ac:dyDescent="0.25">
      <c r="A458" s="61" t="s">
        <v>1510</v>
      </c>
      <c r="B458" s="87" t="s">
        <v>1511</v>
      </c>
      <c r="C458" s="61" t="s">
        <v>1512</v>
      </c>
      <c r="D458" s="61" t="s">
        <v>68</v>
      </c>
      <c r="E458" s="61" t="s">
        <v>347</v>
      </c>
      <c r="F458" s="59" t="s">
        <v>55</v>
      </c>
      <c r="G458" s="54" t="s">
        <v>28</v>
      </c>
      <c r="H458" s="54" t="s">
        <v>56</v>
      </c>
      <c r="I458" s="55">
        <v>100</v>
      </c>
      <c r="J458" s="8" t="s">
        <v>1513</v>
      </c>
      <c r="K458" s="25">
        <v>91</v>
      </c>
      <c r="L458" s="14" t="s">
        <v>1508</v>
      </c>
      <c r="M458" s="11" t="s">
        <v>32</v>
      </c>
      <c r="N458" s="73" t="s">
        <v>32</v>
      </c>
      <c r="O458" s="71" t="s">
        <v>1469</v>
      </c>
      <c r="P458" s="88" t="s">
        <v>59</v>
      </c>
      <c r="Q458" s="71" t="s">
        <v>35</v>
      </c>
      <c r="R458" s="71" t="s">
        <v>1470</v>
      </c>
      <c r="S458" s="9" t="str">
        <f>HYPERLINK(CONCATENATE("https://www.analog.com/", A458, "/datasheet"))</f>
        <v>https://www.analog.com/RH1016M/datasheet</v>
      </c>
    </row>
    <row r="459" spans="1:19" x14ac:dyDescent="0.25">
      <c r="A459" s="59" t="s">
        <v>1514</v>
      </c>
      <c r="B459" s="87" t="s">
        <v>1515</v>
      </c>
      <c r="C459" s="61" t="s">
        <v>1516</v>
      </c>
      <c r="D459" s="61" t="s">
        <v>53</v>
      </c>
      <c r="E459" s="61" t="s">
        <v>1517</v>
      </c>
      <c r="F459" s="59" t="s">
        <v>76</v>
      </c>
      <c r="G459" s="54" t="s">
        <v>28</v>
      </c>
      <c r="H459" s="54" t="s">
        <v>56</v>
      </c>
      <c r="I459" s="55">
        <v>100</v>
      </c>
      <c r="J459" s="8" t="s">
        <v>1518</v>
      </c>
      <c r="K459" s="11" t="s">
        <v>32</v>
      </c>
      <c r="L459" s="11" t="s">
        <v>32</v>
      </c>
      <c r="M459" s="11" t="s">
        <v>32</v>
      </c>
      <c r="N459" s="73" t="s">
        <v>32</v>
      </c>
      <c r="O459" s="71" t="s">
        <v>77</v>
      </c>
      <c r="P459" s="79" t="s">
        <v>42</v>
      </c>
      <c r="Q459" s="79" t="s">
        <v>42</v>
      </c>
      <c r="R459" s="79" t="s">
        <v>42</v>
      </c>
      <c r="S459" s="9" t="str">
        <f>HYPERLINK(CONCATENATE("https://www.analog.com/", A459, "/datasheet"))</f>
        <v>https://www.analog.com/RH101A/datasheet</v>
      </c>
    </row>
    <row r="460" spans="1:19" x14ac:dyDescent="0.25">
      <c r="A460" s="61" t="s">
        <v>1514</v>
      </c>
      <c r="B460" s="87" t="s">
        <v>1515</v>
      </c>
      <c r="C460" s="61" t="s">
        <v>1519</v>
      </c>
      <c r="D460" s="61" t="s">
        <v>53</v>
      </c>
      <c r="E460" s="61" t="s">
        <v>1517</v>
      </c>
      <c r="F460" s="59" t="s">
        <v>55</v>
      </c>
      <c r="G460" s="54" t="s">
        <v>28</v>
      </c>
      <c r="H460" s="54" t="s">
        <v>56</v>
      </c>
      <c r="I460" s="55">
        <v>100</v>
      </c>
      <c r="J460" s="8" t="s">
        <v>1518</v>
      </c>
      <c r="K460" s="11" t="s">
        <v>32</v>
      </c>
      <c r="L460" s="11" t="s">
        <v>32</v>
      </c>
      <c r="M460" s="11" t="s">
        <v>32</v>
      </c>
      <c r="N460" s="73" t="s">
        <v>32</v>
      </c>
      <c r="O460" s="71" t="s">
        <v>1469</v>
      </c>
      <c r="P460" s="88" t="s">
        <v>59</v>
      </c>
      <c r="Q460" s="71" t="s">
        <v>35</v>
      </c>
      <c r="R460" s="71" t="s">
        <v>1470</v>
      </c>
      <c r="S460" s="9" t="str">
        <f>HYPERLINK(CONCATENATE("https://www.analog.com/", A460, "/datasheet"))</f>
        <v>https://www.analog.com/RH101A/datasheet</v>
      </c>
    </row>
    <row r="461" spans="1:19" x14ac:dyDescent="0.25">
      <c r="A461" s="61" t="s">
        <v>1520</v>
      </c>
      <c r="B461" s="87" t="s">
        <v>1521</v>
      </c>
      <c r="C461" s="61" t="s">
        <v>1522</v>
      </c>
      <c r="D461" s="61" t="s">
        <v>68</v>
      </c>
      <c r="E461" s="61" t="s">
        <v>123</v>
      </c>
      <c r="F461" s="61" t="s">
        <v>55</v>
      </c>
      <c r="G461" s="54" t="s">
        <v>28</v>
      </c>
      <c r="H461" s="54" t="s">
        <v>56</v>
      </c>
      <c r="I461" s="27">
        <v>100</v>
      </c>
      <c r="J461" s="22" t="s">
        <v>1523</v>
      </c>
      <c r="K461" s="11" t="s">
        <v>32</v>
      </c>
      <c r="L461" s="11" t="s">
        <v>32</v>
      </c>
      <c r="M461" s="26">
        <v>1000000000000</v>
      </c>
      <c r="N461" s="77" t="s">
        <v>1524</v>
      </c>
      <c r="O461" s="102" t="s">
        <v>1484</v>
      </c>
      <c r="P461" s="88" t="s">
        <v>126</v>
      </c>
      <c r="Q461" s="71" t="s">
        <v>35</v>
      </c>
      <c r="R461" s="71" t="s">
        <v>1485</v>
      </c>
      <c r="S461" s="24" t="s">
        <v>1525</v>
      </c>
    </row>
    <row r="462" spans="1:19" x14ac:dyDescent="0.25">
      <c r="A462" s="59" t="s">
        <v>1520</v>
      </c>
      <c r="B462" s="87" t="s">
        <v>1521</v>
      </c>
      <c r="C462" s="61" t="s">
        <v>1526</v>
      </c>
      <c r="D462" s="61" t="s">
        <v>68</v>
      </c>
      <c r="E462" s="61" t="s">
        <v>123</v>
      </c>
      <c r="F462" s="61" t="s">
        <v>1464</v>
      </c>
      <c r="G462" s="54" t="s">
        <v>28</v>
      </c>
      <c r="H462" s="54" t="s">
        <v>56</v>
      </c>
      <c r="I462" s="25">
        <v>100</v>
      </c>
      <c r="J462" s="22" t="s">
        <v>1523</v>
      </c>
      <c r="K462" s="11" t="s">
        <v>32</v>
      </c>
      <c r="L462" s="11" t="s">
        <v>32</v>
      </c>
      <c r="M462" s="26">
        <v>1000000000000</v>
      </c>
      <c r="N462" s="77" t="s">
        <v>1524</v>
      </c>
      <c r="O462" s="71" t="s">
        <v>77</v>
      </c>
      <c r="P462" s="79" t="s">
        <v>42</v>
      </c>
      <c r="Q462" s="79" t="s">
        <v>42</v>
      </c>
      <c r="R462" s="79" t="s">
        <v>42</v>
      </c>
      <c r="S462" s="24" t="s">
        <v>1525</v>
      </c>
    </row>
    <row r="463" spans="1:19" x14ac:dyDescent="0.25">
      <c r="A463" s="61" t="s">
        <v>1520</v>
      </c>
      <c r="B463" s="87" t="s">
        <v>1521</v>
      </c>
      <c r="C463" s="61" t="s">
        <v>1527</v>
      </c>
      <c r="D463" s="61" t="s">
        <v>68</v>
      </c>
      <c r="E463" s="61" t="s">
        <v>123</v>
      </c>
      <c r="F463" s="61" t="s">
        <v>55</v>
      </c>
      <c r="G463" s="54" t="s">
        <v>28</v>
      </c>
      <c r="H463" s="54" t="s">
        <v>56</v>
      </c>
      <c r="I463" s="25">
        <v>100</v>
      </c>
      <c r="J463" s="22" t="s">
        <v>1523</v>
      </c>
      <c r="K463" s="11" t="s">
        <v>32</v>
      </c>
      <c r="L463" s="11" t="s">
        <v>32</v>
      </c>
      <c r="M463" s="26">
        <v>1000000000000</v>
      </c>
      <c r="N463" s="77" t="s">
        <v>1524</v>
      </c>
      <c r="O463" s="102" t="s">
        <v>1484</v>
      </c>
      <c r="P463" s="88" t="s">
        <v>126</v>
      </c>
      <c r="Q463" s="71" t="s">
        <v>35</v>
      </c>
      <c r="R463" s="71" t="s">
        <v>1485</v>
      </c>
      <c r="S463" s="24" t="s">
        <v>1525</v>
      </c>
    </row>
    <row r="464" spans="1:19" x14ac:dyDescent="0.25">
      <c r="A464" s="61" t="s">
        <v>1520</v>
      </c>
      <c r="B464" s="87" t="s">
        <v>1521</v>
      </c>
      <c r="C464" s="61" t="s">
        <v>1528</v>
      </c>
      <c r="D464" s="61" t="s">
        <v>68</v>
      </c>
      <c r="E464" s="61" t="s">
        <v>123</v>
      </c>
      <c r="F464" s="61" t="s">
        <v>55</v>
      </c>
      <c r="G464" s="54" t="s">
        <v>47</v>
      </c>
      <c r="H464" s="54" t="s">
        <v>56</v>
      </c>
      <c r="I464" s="25">
        <v>100</v>
      </c>
      <c r="J464" s="22" t="s">
        <v>1523</v>
      </c>
      <c r="K464" s="11" t="s">
        <v>32</v>
      </c>
      <c r="L464" s="11" t="s">
        <v>32</v>
      </c>
      <c r="M464" s="26">
        <v>1000000000000</v>
      </c>
      <c r="N464" s="77" t="s">
        <v>1524</v>
      </c>
      <c r="O464" s="71" t="s">
        <v>1469</v>
      </c>
      <c r="P464" s="88" t="s">
        <v>59</v>
      </c>
      <c r="Q464" s="71" t="s">
        <v>35</v>
      </c>
      <c r="R464" s="71" t="s">
        <v>1470</v>
      </c>
      <c r="S464" s="24" t="s">
        <v>1525</v>
      </c>
    </row>
    <row r="465" spans="1:19" x14ac:dyDescent="0.25">
      <c r="A465" s="59" t="s">
        <v>1520</v>
      </c>
      <c r="B465" s="87" t="s">
        <v>1521</v>
      </c>
      <c r="C465" s="61" t="s">
        <v>1529</v>
      </c>
      <c r="D465" s="61" t="s">
        <v>68</v>
      </c>
      <c r="E465" s="61" t="s">
        <v>123</v>
      </c>
      <c r="F465" s="59" t="s">
        <v>55</v>
      </c>
      <c r="G465" s="54" t="s">
        <v>28</v>
      </c>
      <c r="H465" s="54" t="s">
        <v>56</v>
      </c>
      <c r="I465" s="55">
        <v>100</v>
      </c>
      <c r="J465" s="22" t="s">
        <v>1523</v>
      </c>
      <c r="K465" s="11" t="s">
        <v>32</v>
      </c>
      <c r="L465" s="11" t="s">
        <v>32</v>
      </c>
      <c r="M465" s="26">
        <v>1000000000000</v>
      </c>
      <c r="N465" s="77" t="s">
        <v>1524</v>
      </c>
      <c r="O465" s="71" t="s">
        <v>1484</v>
      </c>
      <c r="P465" s="88" t="s">
        <v>126</v>
      </c>
      <c r="Q465" s="71" t="s">
        <v>35</v>
      </c>
      <c r="R465" s="71" t="s">
        <v>1485</v>
      </c>
      <c r="S465" s="9" t="str">
        <f>HYPERLINK(CONCATENATE("https://www.analog.com/", A465, "/datasheet"))</f>
        <v>https://www.analog.com/RH1021-10/datasheet</v>
      </c>
    </row>
    <row r="466" spans="1:19" x14ac:dyDescent="0.25">
      <c r="A466" s="59" t="s">
        <v>1520</v>
      </c>
      <c r="B466" s="87" t="s">
        <v>1521</v>
      </c>
      <c r="C466" s="61" t="s">
        <v>1530</v>
      </c>
      <c r="D466" s="61" t="s">
        <v>68</v>
      </c>
      <c r="E466" s="61" t="s">
        <v>123</v>
      </c>
      <c r="F466" s="59" t="s">
        <v>76</v>
      </c>
      <c r="G466" s="54" t="s">
        <v>28</v>
      </c>
      <c r="H466" s="54" t="s">
        <v>56</v>
      </c>
      <c r="I466" s="55">
        <v>100</v>
      </c>
      <c r="J466" s="8" t="s">
        <v>1523</v>
      </c>
      <c r="K466" s="11" t="s">
        <v>32</v>
      </c>
      <c r="L466" s="11" t="s">
        <v>32</v>
      </c>
      <c r="M466" s="26">
        <v>1000000000000</v>
      </c>
      <c r="N466" s="77" t="s">
        <v>1524</v>
      </c>
      <c r="O466" s="71" t="s">
        <v>77</v>
      </c>
      <c r="P466" s="79" t="s">
        <v>42</v>
      </c>
      <c r="Q466" s="79" t="s">
        <v>42</v>
      </c>
      <c r="R466" s="79" t="s">
        <v>42</v>
      </c>
      <c r="S466" s="9" t="str">
        <f>HYPERLINK(CONCATENATE("https://www.analog.com/", A466, "/datasheet"))</f>
        <v>https://www.analog.com/RH1021-10/datasheet</v>
      </c>
    </row>
    <row r="467" spans="1:19" x14ac:dyDescent="0.25">
      <c r="A467" s="61" t="s">
        <v>1520</v>
      </c>
      <c r="B467" s="87" t="s">
        <v>1521</v>
      </c>
      <c r="C467" s="61" t="s">
        <v>1531</v>
      </c>
      <c r="D467" s="61" t="s">
        <v>68</v>
      </c>
      <c r="E467" s="61" t="s">
        <v>123</v>
      </c>
      <c r="F467" s="59" t="s">
        <v>55</v>
      </c>
      <c r="G467" s="54" t="s">
        <v>28</v>
      </c>
      <c r="H467" s="54" t="s">
        <v>56</v>
      </c>
      <c r="I467" s="57">
        <v>100</v>
      </c>
      <c r="J467" s="8" t="s">
        <v>1523</v>
      </c>
      <c r="K467" s="11" t="s">
        <v>32</v>
      </c>
      <c r="L467" s="11" t="s">
        <v>32</v>
      </c>
      <c r="M467" s="26">
        <v>1000000000000</v>
      </c>
      <c r="N467" s="77" t="s">
        <v>1524</v>
      </c>
      <c r="O467" s="71" t="s">
        <v>1484</v>
      </c>
      <c r="P467" s="88" t="s">
        <v>126</v>
      </c>
      <c r="Q467" s="71" t="s">
        <v>35</v>
      </c>
      <c r="R467" s="71" t="s">
        <v>1485</v>
      </c>
      <c r="S467" s="9" t="str">
        <f>HYPERLINK(CONCATENATE("https://www.analog.com/", A467, "/datasheet"))</f>
        <v>https://www.analog.com/RH1021-10/datasheet</v>
      </c>
    </row>
    <row r="468" spans="1:19" x14ac:dyDescent="0.25">
      <c r="A468" s="59" t="s">
        <v>1520</v>
      </c>
      <c r="B468" s="87" t="s">
        <v>1521</v>
      </c>
      <c r="C468" s="61" t="s">
        <v>1532</v>
      </c>
      <c r="D468" s="61" t="s">
        <v>68</v>
      </c>
      <c r="E468" s="61" t="s">
        <v>123</v>
      </c>
      <c r="F468" s="59" t="s">
        <v>55</v>
      </c>
      <c r="G468" s="54" t="s">
        <v>28</v>
      </c>
      <c r="H468" s="54" t="s">
        <v>56</v>
      </c>
      <c r="I468" s="55">
        <v>100</v>
      </c>
      <c r="J468" s="22" t="s">
        <v>1523</v>
      </c>
      <c r="K468" s="11" t="s">
        <v>32</v>
      </c>
      <c r="L468" s="11" t="s">
        <v>32</v>
      </c>
      <c r="M468" s="26">
        <v>1000000000000</v>
      </c>
      <c r="N468" s="77" t="s">
        <v>1524</v>
      </c>
      <c r="O468" s="71" t="s">
        <v>1469</v>
      </c>
      <c r="P468" s="88" t="s">
        <v>59</v>
      </c>
      <c r="Q468" s="71" t="s">
        <v>35</v>
      </c>
      <c r="R468" s="71" t="s">
        <v>1470</v>
      </c>
      <c r="S468" s="9" t="str">
        <f>HYPERLINK(CONCATENATE("https://www.analog.com/", A468, "/datasheet"))</f>
        <v>https://www.analog.com/RH1021-10/datasheet</v>
      </c>
    </row>
    <row r="469" spans="1:19" x14ac:dyDescent="0.25">
      <c r="A469" s="61" t="s">
        <v>1520</v>
      </c>
      <c r="B469" s="87" t="s">
        <v>1521</v>
      </c>
      <c r="C469" s="61" t="s">
        <v>1533</v>
      </c>
      <c r="D469" s="61" t="s">
        <v>68</v>
      </c>
      <c r="E469" s="61" t="s">
        <v>123</v>
      </c>
      <c r="F469" s="10" t="s">
        <v>41</v>
      </c>
      <c r="G469" s="54" t="s">
        <v>28</v>
      </c>
      <c r="H469" s="11" t="s">
        <v>42</v>
      </c>
      <c r="I469" s="11" t="s">
        <v>42</v>
      </c>
      <c r="J469" s="11" t="s">
        <v>42</v>
      </c>
      <c r="K469" s="11" t="s">
        <v>42</v>
      </c>
      <c r="L469" s="11" t="s">
        <v>42</v>
      </c>
      <c r="M469" s="11" t="s">
        <v>42</v>
      </c>
      <c r="N469" s="73" t="s">
        <v>42</v>
      </c>
      <c r="O469" s="71" t="s">
        <v>1469</v>
      </c>
      <c r="P469" s="88" t="s">
        <v>59</v>
      </c>
      <c r="Q469" s="71" t="s">
        <v>35</v>
      </c>
      <c r="R469" s="71" t="s">
        <v>1470</v>
      </c>
      <c r="S469" s="9" t="str">
        <f>HYPERLINK(CONCATENATE("https://www.analog.com/", A469, "/datasheet"))</f>
        <v>https://www.analog.com/RH1021-10/datasheet</v>
      </c>
    </row>
    <row r="470" spans="1:19" x14ac:dyDescent="0.25">
      <c r="A470" s="61" t="s">
        <v>1534</v>
      </c>
      <c r="B470" s="87" t="s">
        <v>1535</v>
      </c>
      <c r="C470" s="96" t="s">
        <v>1536</v>
      </c>
      <c r="D470" s="61" t="s">
        <v>68</v>
      </c>
      <c r="E470" s="61" t="s">
        <v>123</v>
      </c>
      <c r="F470" s="61" t="s">
        <v>55</v>
      </c>
      <c r="G470" s="54" t="s">
        <v>28</v>
      </c>
      <c r="H470" s="54" t="s">
        <v>56</v>
      </c>
      <c r="I470" s="57">
        <v>100</v>
      </c>
      <c r="J470" s="14" t="s">
        <v>1537</v>
      </c>
      <c r="K470" s="11" t="s">
        <v>32</v>
      </c>
      <c r="L470" s="11" t="s">
        <v>32</v>
      </c>
      <c r="M470" s="26">
        <v>1000000000000</v>
      </c>
      <c r="N470" s="78" t="s">
        <v>1524</v>
      </c>
      <c r="O470" s="102" t="s">
        <v>1484</v>
      </c>
      <c r="P470" s="88" t="s">
        <v>126</v>
      </c>
      <c r="Q470" s="71" t="s">
        <v>35</v>
      </c>
      <c r="R470" s="71" t="s">
        <v>1485</v>
      </c>
      <c r="S470" s="24" t="s">
        <v>1538</v>
      </c>
    </row>
    <row r="471" spans="1:19" x14ac:dyDescent="0.25">
      <c r="A471" s="53" t="s">
        <v>1534</v>
      </c>
      <c r="B471" s="87" t="s">
        <v>1535</v>
      </c>
      <c r="C471" s="86" t="s">
        <v>1539</v>
      </c>
      <c r="D471" s="86" t="s">
        <v>68</v>
      </c>
      <c r="E471" s="86" t="s">
        <v>123</v>
      </c>
      <c r="F471" s="61" t="s">
        <v>1464</v>
      </c>
      <c r="G471" s="54" t="s">
        <v>28</v>
      </c>
      <c r="H471" s="54" t="s">
        <v>56</v>
      </c>
      <c r="I471" s="58">
        <v>100</v>
      </c>
      <c r="J471" s="22" t="s">
        <v>1540</v>
      </c>
      <c r="K471" s="11" t="s">
        <v>32</v>
      </c>
      <c r="L471" s="11" t="s">
        <v>32</v>
      </c>
      <c r="M471" s="28">
        <v>1000000000000</v>
      </c>
      <c r="N471" s="19" t="s">
        <v>1524</v>
      </c>
      <c r="O471" s="71" t="s">
        <v>77</v>
      </c>
      <c r="P471" s="79" t="s">
        <v>42</v>
      </c>
      <c r="Q471" s="79" t="s">
        <v>42</v>
      </c>
      <c r="R471" s="79" t="s">
        <v>42</v>
      </c>
      <c r="S471" s="24" t="s">
        <v>1538</v>
      </c>
    </row>
    <row r="472" spans="1:19" x14ac:dyDescent="0.25">
      <c r="A472" s="86" t="s">
        <v>1534</v>
      </c>
      <c r="B472" s="87" t="s">
        <v>1535</v>
      </c>
      <c r="C472" s="86" t="s">
        <v>1541</v>
      </c>
      <c r="D472" s="86" t="s">
        <v>68</v>
      </c>
      <c r="E472" s="86" t="s">
        <v>123</v>
      </c>
      <c r="F472" s="61" t="s">
        <v>55</v>
      </c>
      <c r="G472" s="54" t="s">
        <v>28</v>
      </c>
      <c r="H472" s="54" t="s">
        <v>56</v>
      </c>
      <c r="I472" s="66">
        <v>100</v>
      </c>
      <c r="J472" s="15" t="s">
        <v>1537</v>
      </c>
      <c r="K472" s="11" t="s">
        <v>32</v>
      </c>
      <c r="L472" s="11" t="s">
        <v>32</v>
      </c>
      <c r="M472" s="28">
        <v>1000000000000</v>
      </c>
      <c r="N472" s="19" t="s">
        <v>1524</v>
      </c>
      <c r="O472" s="102" t="s">
        <v>1484</v>
      </c>
      <c r="P472" s="88" t="s">
        <v>126</v>
      </c>
      <c r="Q472" s="71" t="s">
        <v>35</v>
      </c>
      <c r="R472" s="71" t="s">
        <v>1485</v>
      </c>
      <c r="S472" s="24" t="s">
        <v>1538</v>
      </c>
    </row>
    <row r="473" spans="1:19" x14ac:dyDescent="0.25">
      <c r="A473" s="86" t="s">
        <v>1534</v>
      </c>
      <c r="B473" s="87" t="s">
        <v>1535</v>
      </c>
      <c r="C473" s="86" t="s">
        <v>1542</v>
      </c>
      <c r="D473" s="86" t="s">
        <v>68</v>
      </c>
      <c r="E473" s="86" t="s">
        <v>123</v>
      </c>
      <c r="F473" s="61" t="s">
        <v>55</v>
      </c>
      <c r="G473" s="54" t="s">
        <v>47</v>
      </c>
      <c r="H473" s="54" t="s">
        <v>56</v>
      </c>
      <c r="I473" s="66">
        <v>100</v>
      </c>
      <c r="J473" s="14" t="s">
        <v>1537</v>
      </c>
      <c r="K473" s="11" t="s">
        <v>32</v>
      </c>
      <c r="L473" s="11" t="s">
        <v>32</v>
      </c>
      <c r="M473" s="28">
        <v>1000000000000</v>
      </c>
      <c r="N473" s="19" t="s">
        <v>1524</v>
      </c>
      <c r="O473" s="71" t="s">
        <v>1469</v>
      </c>
      <c r="P473" s="53" t="s">
        <v>59</v>
      </c>
      <c r="Q473" s="71" t="s">
        <v>35</v>
      </c>
      <c r="R473" s="71" t="s">
        <v>1470</v>
      </c>
      <c r="S473" s="24" t="s">
        <v>1538</v>
      </c>
    </row>
    <row r="474" spans="1:19" x14ac:dyDescent="0.25">
      <c r="A474" s="86" t="s">
        <v>1534</v>
      </c>
      <c r="B474" s="87" t="s">
        <v>1535</v>
      </c>
      <c r="C474" s="86" t="s">
        <v>1543</v>
      </c>
      <c r="D474" s="86" t="s">
        <v>68</v>
      </c>
      <c r="E474" s="86" t="s">
        <v>123</v>
      </c>
      <c r="F474" s="59" t="s">
        <v>55</v>
      </c>
      <c r="G474" s="54" t="s">
        <v>28</v>
      </c>
      <c r="H474" s="54" t="s">
        <v>56</v>
      </c>
      <c r="I474" s="66">
        <v>100</v>
      </c>
      <c r="J474" s="8" t="s">
        <v>1544</v>
      </c>
      <c r="K474" s="11" t="s">
        <v>32</v>
      </c>
      <c r="L474" s="11" t="s">
        <v>32</v>
      </c>
      <c r="M474" s="28">
        <v>1000000000000</v>
      </c>
      <c r="N474" s="19" t="s">
        <v>1524</v>
      </c>
      <c r="O474" s="71" t="s">
        <v>1484</v>
      </c>
      <c r="P474" s="53" t="s">
        <v>126</v>
      </c>
      <c r="Q474" s="71" t="s">
        <v>35</v>
      </c>
      <c r="R474" s="71" t="s">
        <v>1485</v>
      </c>
      <c r="S474" s="9" t="str">
        <f t="shared" ref="S474:S481" si="7">HYPERLINK(CONCATENATE("https://www.analog.com/", A474, "/datasheet"))</f>
        <v>https://www.analog.com/RH1021-5/datasheet</v>
      </c>
    </row>
    <row r="475" spans="1:19" x14ac:dyDescent="0.25">
      <c r="A475" s="53" t="s">
        <v>1534</v>
      </c>
      <c r="B475" s="87" t="s">
        <v>1535</v>
      </c>
      <c r="C475" s="86" t="s">
        <v>1545</v>
      </c>
      <c r="D475" s="86" t="s">
        <v>68</v>
      </c>
      <c r="E475" s="86" t="s">
        <v>123</v>
      </c>
      <c r="F475" s="59" t="s">
        <v>76</v>
      </c>
      <c r="G475" s="54" t="s">
        <v>28</v>
      </c>
      <c r="H475" s="54" t="s">
        <v>56</v>
      </c>
      <c r="I475" s="58">
        <v>100</v>
      </c>
      <c r="J475" s="14" t="s">
        <v>1546</v>
      </c>
      <c r="K475" s="11" t="s">
        <v>32</v>
      </c>
      <c r="L475" s="11" t="s">
        <v>32</v>
      </c>
      <c r="M475" s="28">
        <v>1000000000000</v>
      </c>
      <c r="N475" s="19" t="s">
        <v>1524</v>
      </c>
      <c r="O475" s="71" t="s">
        <v>77</v>
      </c>
      <c r="P475" s="79" t="s">
        <v>42</v>
      </c>
      <c r="Q475" s="79" t="s">
        <v>42</v>
      </c>
      <c r="R475" s="79" t="s">
        <v>42</v>
      </c>
      <c r="S475" s="9" t="str">
        <f t="shared" si="7"/>
        <v>https://www.analog.com/RH1021-5/datasheet</v>
      </c>
    </row>
    <row r="476" spans="1:19" x14ac:dyDescent="0.25">
      <c r="A476" s="53" t="s">
        <v>1534</v>
      </c>
      <c r="B476" s="86" t="s">
        <v>1535</v>
      </c>
      <c r="C476" s="86" t="s">
        <v>1537</v>
      </c>
      <c r="D476" s="86" t="s">
        <v>68</v>
      </c>
      <c r="E476" s="86" t="s">
        <v>123</v>
      </c>
      <c r="F476" s="59" t="s">
        <v>55</v>
      </c>
      <c r="G476" s="54" t="s">
        <v>28</v>
      </c>
      <c r="H476" s="54" t="s">
        <v>56</v>
      </c>
      <c r="I476" s="58">
        <v>100</v>
      </c>
      <c r="J476" s="22" t="s">
        <v>1544</v>
      </c>
      <c r="K476" s="11" t="s">
        <v>32</v>
      </c>
      <c r="L476" s="11" t="s">
        <v>32</v>
      </c>
      <c r="M476" s="26">
        <v>1000000000000</v>
      </c>
      <c r="N476" s="78" t="s">
        <v>1524</v>
      </c>
      <c r="O476" s="71" t="s">
        <v>1484</v>
      </c>
      <c r="P476" s="53" t="s">
        <v>126</v>
      </c>
      <c r="Q476" s="71" t="s">
        <v>35</v>
      </c>
      <c r="R476" s="71" t="s">
        <v>1485</v>
      </c>
      <c r="S476" s="9" t="str">
        <f t="shared" si="7"/>
        <v>https://www.analog.com/RH1021-5/datasheet</v>
      </c>
    </row>
    <row r="477" spans="1:19" x14ac:dyDescent="0.25">
      <c r="A477" s="53" t="s">
        <v>1534</v>
      </c>
      <c r="B477" s="86" t="s">
        <v>1535</v>
      </c>
      <c r="C477" s="86" t="s">
        <v>1547</v>
      </c>
      <c r="D477" s="86" t="s">
        <v>68</v>
      </c>
      <c r="E477" s="86" t="s">
        <v>123</v>
      </c>
      <c r="F477" s="59" t="s">
        <v>55</v>
      </c>
      <c r="G477" s="54" t="s">
        <v>28</v>
      </c>
      <c r="H477" s="54" t="s">
        <v>56</v>
      </c>
      <c r="I477" s="58">
        <v>100</v>
      </c>
      <c r="J477" s="22" t="s">
        <v>1544</v>
      </c>
      <c r="K477" s="11" t="s">
        <v>32</v>
      </c>
      <c r="L477" s="11" t="s">
        <v>32</v>
      </c>
      <c r="M477" s="28">
        <v>1000000000000</v>
      </c>
      <c r="N477" s="19" t="s">
        <v>1524</v>
      </c>
      <c r="O477" s="71" t="s">
        <v>1469</v>
      </c>
      <c r="P477" s="53" t="s">
        <v>59</v>
      </c>
      <c r="Q477" s="71" t="s">
        <v>35</v>
      </c>
      <c r="R477" s="71" t="s">
        <v>1470</v>
      </c>
      <c r="S477" s="9" t="str">
        <f t="shared" si="7"/>
        <v>https://www.analog.com/RH1021-5/datasheet</v>
      </c>
    </row>
    <row r="478" spans="1:19" x14ac:dyDescent="0.25">
      <c r="A478" s="53" t="s">
        <v>1534</v>
      </c>
      <c r="B478" s="86" t="s">
        <v>1535</v>
      </c>
      <c r="C478" s="86" t="s">
        <v>1548</v>
      </c>
      <c r="D478" s="86" t="s">
        <v>68</v>
      </c>
      <c r="E478" s="86" t="s">
        <v>123</v>
      </c>
      <c r="F478" s="10" t="s">
        <v>41</v>
      </c>
      <c r="G478" s="54" t="s">
        <v>28</v>
      </c>
      <c r="H478" s="11" t="s">
        <v>42</v>
      </c>
      <c r="I478" s="16" t="s">
        <v>42</v>
      </c>
      <c r="J478" s="16" t="s">
        <v>42</v>
      </c>
      <c r="K478" s="11" t="s">
        <v>42</v>
      </c>
      <c r="L478" s="11" t="s">
        <v>42</v>
      </c>
      <c r="M478" s="16" t="s">
        <v>42</v>
      </c>
      <c r="N478" s="16" t="s">
        <v>42</v>
      </c>
      <c r="O478" s="102" t="s">
        <v>1469</v>
      </c>
      <c r="P478" s="53" t="s">
        <v>59</v>
      </c>
      <c r="Q478" s="71" t="s">
        <v>35</v>
      </c>
      <c r="R478" s="71" t="s">
        <v>1470</v>
      </c>
      <c r="S478" s="9" t="str">
        <f t="shared" si="7"/>
        <v>https://www.analog.com/RH1021-5/datasheet</v>
      </c>
    </row>
    <row r="479" spans="1:19" x14ac:dyDescent="0.25">
      <c r="A479" s="86" t="s">
        <v>1549</v>
      </c>
      <c r="B479" s="86" t="s">
        <v>1550</v>
      </c>
      <c r="C479" s="86" t="s">
        <v>1551</v>
      </c>
      <c r="D479" s="86" t="s">
        <v>68</v>
      </c>
      <c r="E479" s="86" t="s">
        <v>123</v>
      </c>
      <c r="F479" s="59" t="s">
        <v>55</v>
      </c>
      <c r="G479" s="54" t="s">
        <v>28</v>
      </c>
      <c r="H479" s="54" t="s">
        <v>56</v>
      </c>
      <c r="I479" s="66">
        <v>100</v>
      </c>
      <c r="J479" s="22" t="s">
        <v>1552</v>
      </c>
      <c r="K479" s="11" t="s">
        <v>32</v>
      </c>
      <c r="L479" s="11" t="s">
        <v>32</v>
      </c>
      <c r="M479" s="11" t="s">
        <v>32</v>
      </c>
      <c r="N479" s="73" t="s">
        <v>32</v>
      </c>
      <c r="O479" s="71" t="s">
        <v>1484</v>
      </c>
      <c r="P479" s="53" t="s">
        <v>126</v>
      </c>
      <c r="Q479" s="71" t="s">
        <v>35</v>
      </c>
      <c r="R479" s="71" t="s">
        <v>1485</v>
      </c>
      <c r="S479" s="9" t="str">
        <f t="shared" si="7"/>
        <v>https://www.analog.com/RH1021-7/datasheet</v>
      </c>
    </row>
    <row r="480" spans="1:19" x14ac:dyDescent="0.25">
      <c r="A480" s="86" t="s">
        <v>1549</v>
      </c>
      <c r="B480" s="86" t="s">
        <v>1550</v>
      </c>
      <c r="C480" s="86" t="s">
        <v>1553</v>
      </c>
      <c r="D480" s="86" t="s">
        <v>68</v>
      </c>
      <c r="E480" s="86" t="s">
        <v>123</v>
      </c>
      <c r="F480" s="10" t="s">
        <v>41</v>
      </c>
      <c r="G480" s="54" t="s">
        <v>28</v>
      </c>
      <c r="H480" s="11" t="s">
        <v>42</v>
      </c>
      <c r="I480" s="16" t="s">
        <v>42</v>
      </c>
      <c r="J480" s="16" t="s">
        <v>42</v>
      </c>
      <c r="K480" s="16" t="s">
        <v>42</v>
      </c>
      <c r="L480" s="16" t="s">
        <v>42</v>
      </c>
      <c r="M480" s="16" t="s">
        <v>42</v>
      </c>
      <c r="N480" s="16" t="s">
        <v>42</v>
      </c>
      <c r="O480" s="71" t="s">
        <v>1484</v>
      </c>
      <c r="P480" s="53" t="s">
        <v>126</v>
      </c>
      <c r="Q480" s="71" t="s">
        <v>35</v>
      </c>
      <c r="R480" s="71" t="s">
        <v>1485</v>
      </c>
      <c r="S480" s="9" t="str">
        <f t="shared" si="7"/>
        <v>https://www.analog.com/RH1021-7/datasheet</v>
      </c>
    </row>
    <row r="481" spans="1:19" x14ac:dyDescent="0.25">
      <c r="A481" s="86" t="s">
        <v>1554</v>
      </c>
      <c r="B481" s="86" t="s">
        <v>1555</v>
      </c>
      <c r="C481" s="86" t="s">
        <v>1556</v>
      </c>
      <c r="D481" s="86" t="s">
        <v>53</v>
      </c>
      <c r="E481" s="86" t="s">
        <v>228</v>
      </c>
      <c r="F481" s="59" t="s">
        <v>55</v>
      </c>
      <c r="G481" s="54" t="s">
        <v>28</v>
      </c>
      <c r="H481" s="54" t="s">
        <v>56</v>
      </c>
      <c r="I481" s="58">
        <v>100</v>
      </c>
      <c r="J481" s="15" t="s">
        <v>1557</v>
      </c>
      <c r="K481" s="11" t="s">
        <v>32</v>
      </c>
      <c r="L481" s="11" t="s">
        <v>32</v>
      </c>
      <c r="M481" s="28">
        <v>1000000000000</v>
      </c>
      <c r="N481" s="15" t="s">
        <v>1556</v>
      </c>
      <c r="O481" s="71" t="s">
        <v>1469</v>
      </c>
      <c r="P481" s="88" t="s">
        <v>59</v>
      </c>
      <c r="Q481" s="71" t="s">
        <v>35</v>
      </c>
      <c r="R481" s="71" t="s">
        <v>1470</v>
      </c>
      <c r="S481" s="9" t="str">
        <f t="shared" si="7"/>
        <v>https://www.analog.com/RH1028M/datasheet</v>
      </c>
    </row>
    <row r="482" spans="1:19" x14ac:dyDescent="0.25">
      <c r="A482" s="86" t="s">
        <v>1554</v>
      </c>
      <c r="B482" s="86" t="s">
        <v>1555</v>
      </c>
      <c r="C482" s="65" t="s">
        <v>1558</v>
      </c>
      <c r="D482" s="86" t="s">
        <v>53</v>
      </c>
      <c r="E482" s="86" t="s">
        <v>228</v>
      </c>
      <c r="F482" s="10" t="s">
        <v>41</v>
      </c>
      <c r="G482" s="54" t="s">
        <v>28</v>
      </c>
      <c r="H482" s="11" t="s">
        <v>42</v>
      </c>
      <c r="I482" s="16" t="s">
        <v>42</v>
      </c>
      <c r="J482" s="16" t="s">
        <v>42</v>
      </c>
      <c r="K482" s="16" t="s">
        <v>42</v>
      </c>
      <c r="L482" s="16" t="s">
        <v>42</v>
      </c>
      <c r="M482" s="16" t="s">
        <v>42</v>
      </c>
      <c r="N482" s="16" t="s">
        <v>42</v>
      </c>
      <c r="O482" s="71" t="s">
        <v>1469</v>
      </c>
      <c r="P482" s="88" t="s">
        <v>59</v>
      </c>
      <c r="Q482" s="71" t="s">
        <v>35</v>
      </c>
      <c r="R482" s="71" t="s">
        <v>1470</v>
      </c>
      <c r="S482" s="24" t="s">
        <v>1559</v>
      </c>
    </row>
    <row r="483" spans="1:19" x14ac:dyDescent="0.25">
      <c r="A483" s="86" t="s">
        <v>1560</v>
      </c>
      <c r="B483" s="86" t="s">
        <v>1561</v>
      </c>
      <c r="C483" s="86" t="s">
        <v>1562</v>
      </c>
      <c r="D483" s="86" t="s">
        <v>68</v>
      </c>
      <c r="E483" s="86" t="s">
        <v>145</v>
      </c>
      <c r="F483" s="59" t="s">
        <v>55</v>
      </c>
      <c r="G483" s="54" t="s">
        <v>28</v>
      </c>
      <c r="H483" s="54" t="s">
        <v>56</v>
      </c>
      <c r="I483" s="66">
        <v>100</v>
      </c>
      <c r="J483" s="15" t="s">
        <v>1563</v>
      </c>
      <c r="K483" s="11" t="s">
        <v>32</v>
      </c>
      <c r="L483" s="11" t="s">
        <v>32</v>
      </c>
      <c r="M483" s="11" t="s">
        <v>32</v>
      </c>
      <c r="N483" s="73" t="s">
        <v>32</v>
      </c>
      <c r="O483" s="71" t="s">
        <v>1484</v>
      </c>
      <c r="P483" s="88" t="s">
        <v>126</v>
      </c>
      <c r="Q483" s="71" t="s">
        <v>35</v>
      </c>
      <c r="R483" s="71" t="s">
        <v>1485</v>
      </c>
      <c r="S483" s="9" t="s">
        <v>1564</v>
      </c>
    </row>
    <row r="484" spans="1:19" x14ac:dyDescent="0.25">
      <c r="A484" s="86" t="s">
        <v>1560</v>
      </c>
      <c r="B484" s="86" t="s">
        <v>1561</v>
      </c>
      <c r="C484" s="86" t="s">
        <v>1565</v>
      </c>
      <c r="D484" s="86" t="s">
        <v>68</v>
      </c>
      <c r="E484" s="86" t="s">
        <v>145</v>
      </c>
      <c r="F484" s="59" t="s">
        <v>55</v>
      </c>
      <c r="G484" s="54" t="s">
        <v>28</v>
      </c>
      <c r="H484" s="11" t="s">
        <v>42</v>
      </c>
      <c r="I484" s="16" t="s">
        <v>42</v>
      </c>
      <c r="J484" s="16" t="s">
        <v>42</v>
      </c>
      <c r="K484" s="16" t="s">
        <v>42</v>
      </c>
      <c r="L484" s="16" t="s">
        <v>42</v>
      </c>
      <c r="M484" s="16" t="s">
        <v>42</v>
      </c>
      <c r="N484" s="16" t="s">
        <v>42</v>
      </c>
      <c r="O484" s="71" t="s">
        <v>1469</v>
      </c>
      <c r="P484" s="88" t="s">
        <v>59</v>
      </c>
      <c r="Q484" s="71" t="s">
        <v>35</v>
      </c>
      <c r="R484" s="71" t="s">
        <v>1470</v>
      </c>
      <c r="S484" s="9" t="s">
        <v>1564</v>
      </c>
    </row>
    <row r="485" spans="1:19" x14ac:dyDescent="0.25">
      <c r="A485" s="86" t="s">
        <v>1560</v>
      </c>
      <c r="B485" s="86" t="s">
        <v>1561</v>
      </c>
      <c r="C485" s="86" t="s">
        <v>1566</v>
      </c>
      <c r="D485" s="86" t="s">
        <v>68</v>
      </c>
      <c r="E485" s="86" t="s">
        <v>145</v>
      </c>
      <c r="F485" s="59" t="s">
        <v>55</v>
      </c>
      <c r="G485" s="54" t="s">
        <v>28</v>
      </c>
      <c r="H485" s="54" t="s">
        <v>56</v>
      </c>
      <c r="I485" s="66">
        <v>100</v>
      </c>
      <c r="J485" s="15" t="s">
        <v>1563</v>
      </c>
      <c r="K485" s="11" t="s">
        <v>32</v>
      </c>
      <c r="L485" s="11" t="s">
        <v>32</v>
      </c>
      <c r="M485" s="11" t="s">
        <v>32</v>
      </c>
      <c r="N485" s="73" t="s">
        <v>32</v>
      </c>
      <c r="O485" s="71" t="s">
        <v>1469</v>
      </c>
      <c r="P485" s="88" t="s">
        <v>59</v>
      </c>
      <c r="Q485" s="71" t="s">
        <v>35</v>
      </c>
      <c r="R485" s="71" t="s">
        <v>1470</v>
      </c>
      <c r="S485" s="9" t="s">
        <v>1564</v>
      </c>
    </row>
    <row r="486" spans="1:19" x14ac:dyDescent="0.25">
      <c r="A486" s="53" t="s">
        <v>1567</v>
      </c>
      <c r="B486" s="86" t="s">
        <v>1568</v>
      </c>
      <c r="C486" s="86" t="s">
        <v>1569</v>
      </c>
      <c r="D486" s="86" t="s">
        <v>53</v>
      </c>
      <c r="E486" s="86" t="s">
        <v>365</v>
      </c>
      <c r="F486" s="59" t="s">
        <v>55</v>
      </c>
      <c r="G486" s="54" t="s">
        <v>28</v>
      </c>
      <c r="H486" s="54" t="s">
        <v>56</v>
      </c>
      <c r="I486" s="55">
        <v>100</v>
      </c>
      <c r="J486" s="14" t="s">
        <v>1540</v>
      </c>
      <c r="K486" s="11" t="s">
        <v>32</v>
      </c>
      <c r="L486" s="11" t="s">
        <v>32</v>
      </c>
      <c r="M486" s="11" t="s">
        <v>32</v>
      </c>
      <c r="N486" s="73" t="s">
        <v>32</v>
      </c>
      <c r="O486" s="71" t="s">
        <v>1484</v>
      </c>
      <c r="P486" s="53" t="s">
        <v>126</v>
      </c>
      <c r="Q486" s="71" t="s">
        <v>35</v>
      </c>
      <c r="R486" s="71" t="s">
        <v>1485</v>
      </c>
      <c r="S486" s="9" t="str">
        <f t="shared" ref="S486:S492" si="8">HYPERLINK(CONCATENATE("https://www.analog.com/", A486, "/datasheet"))</f>
        <v>https://www.analog.com/RH1056A/datasheet</v>
      </c>
    </row>
    <row r="487" spans="1:19" x14ac:dyDescent="0.25">
      <c r="A487" s="53" t="s">
        <v>1567</v>
      </c>
      <c r="B487" s="86" t="s">
        <v>1568</v>
      </c>
      <c r="C487" s="86" t="s">
        <v>1570</v>
      </c>
      <c r="D487" s="86" t="s">
        <v>53</v>
      </c>
      <c r="E487" s="86" t="s">
        <v>365</v>
      </c>
      <c r="F487" s="59" t="s">
        <v>55</v>
      </c>
      <c r="G487" s="54" t="s">
        <v>28</v>
      </c>
      <c r="H487" s="54" t="s">
        <v>56</v>
      </c>
      <c r="I487" s="58">
        <v>100</v>
      </c>
      <c r="J487" s="15" t="s">
        <v>1540</v>
      </c>
      <c r="K487" s="16" t="s">
        <v>32</v>
      </c>
      <c r="L487" s="16" t="s">
        <v>32</v>
      </c>
      <c r="M487" s="16" t="s">
        <v>32</v>
      </c>
      <c r="N487" s="16" t="s">
        <v>32</v>
      </c>
      <c r="O487" s="71" t="s">
        <v>1469</v>
      </c>
      <c r="P487" s="53" t="s">
        <v>59</v>
      </c>
      <c r="Q487" s="71" t="s">
        <v>35</v>
      </c>
      <c r="R487" s="71" t="s">
        <v>1470</v>
      </c>
      <c r="S487" s="9" t="str">
        <f t="shared" si="8"/>
        <v>https://www.analog.com/RH1056A/datasheet</v>
      </c>
    </row>
    <row r="488" spans="1:19" x14ac:dyDescent="0.25">
      <c r="A488" s="86" t="s">
        <v>1567</v>
      </c>
      <c r="B488" s="86" t="s">
        <v>1568</v>
      </c>
      <c r="C488" s="86" t="s">
        <v>1571</v>
      </c>
      <c r="D488" s="86" t="s">
        <v>53</v>
      </c>
      <c r="E488" s="86" t="s">
        <v>365</v>
      </c>
      <c r="F488" s="10" t="s">
        <v>41</v>
      </c>
      <c r="G488" s="54" t="s">
        <v>28</v>
      </c>
      <c r="H488" s="11" t="s">
        <v>42</v>
      </c>
      <c r="I488" s="16" t="s">
        <v>42</v>
      </c>
      <c r="J488" s="16" t="s">
        <v>42</v>
      </c>
      <c r="K488" s="11" t="s">
        <v>42</v>
      </c>
      <c r="L488" s="11" t="s">
        <v>42</v>
      </c>
      <c r="M488" s="11" t="s">
        <v>42</v>
      </c>
      <c r="N488" s="73" t="s">
        <v>42</v>
      </c>
      <c r="O488" s="71" t="s">
        <v>1469</v>
      </c>
      <c r="P488" s="88" t="s">
        <v>59</v>
      </c>
      <c r="Q488" s="71" t="s">
        <v>35</v>
      </c>
      <c r="R488" s="71" t="s">
        <v>1470</v>
      </c>
      <c r="S488" s="9" t="str">
        <f t="shared" si="8"/>
        <v>https://www.analog.com/RH1056A/datasheet</v>
      </c>
    </row>
    <row r="489" spans="1:19" x14ac:dyDescent="0.25">
      <c r="A489" s="53" t="s">
        <v>1572</v>
      </c>
      <c r="B489" s="86" t="s">
        <v>1573</v>
      </c>
      <c r="C489" s="86" t="s">
        <v>1574</v>
      </c>
      <c r="D489" s="86" t="s">
        <v>53</v>
      </c>
      <c r="E489" s="86" t="s">
        <v>1491</v>
      </c>
      <c r="F489" s="59" t="s">
        <v>76</v>
      </c>
      <c r="G489" s="54" t="s">
        <v>28</v>
      </c>
      <c r="H489" s="54" t="s">
        <v>56</v>
      </c>
      <c r="I489" s="58">
        <v>100</v>
      </c>
      <c r="J489" s="22" t="s">
        <v>1575</v>
      </c>
      <c r="K489" s="11" t="s">
        <v>32</v>
      </c>
      <c r="L489" s="11" t="s">
        <v>32</v>
      </c>
      <c r="M489" s="11" t="s">
        <v>32</v>
      </c>
      <c r="N489" s="73" t="s">
        <v>32</v>
      </c>
      <c r="O489" s="71" t="s">
        <v>77</v>
      </c>
      <c r="P489" s="16" t="s">
        <v>42</v>
      </c>
      <c r="Q489" s="79" t="s">
        <v>42</v>
      </c>
      <c r="R489" s="79" t="s">
        <v>42</v>
      </c>
      <c r="S489" s="9" t="str">
        <f t="shared" si="8"/>
        <v>https://www.analog.com/RH1078M/datasheet</v>
      </c>
    </row>
    <row r="490" spans="1:19" x14ac:dyDescent="0.25">
      <c r="A490" s="86" t="s">
        <v>1572</v>
      </c>
      <c r="B490" s="86" t="s">
        <v>1573</v>
      </c>
      <c r="C490" s="86" t="s">
        <v>1576</v>
      </c>
      <c r="D490" s="86" t="s">
        <v>53</v>
      </c>
      <c r="E490" s="86" t="s">
        <v>1491</v>
      </c>
      <c r="F490" s="59" t="s">
        <v>55</v>
      </c>
      <c r="G490" s="54" t="s">
        <v>28</v>
      </c>
      <c r="H490" s="54" t="s">
        <v>56</v>
      </c>
      <c r="I490" s="58">
        <v>100</v>
      </c>
      <c r="J490" s="22" t="s">
        <v>1575</v>
      </c>
      <c r="K490" s="16" t="s">
        <v>32</v>
      </c>
      <c r="L490" s="16" t="s">
        <v>32</v>
      </c>
      <c r="M490" s="16" t="s">
        <v>32</v>
      </c>
      <c r="N490" s="16" t="s">
        <v>32</v>
      </c>
      <c r="O490" s="71" t="s">
        <v>1484</v>
      </c>
      <c r="P490" s="88" t="s">
        <v>126</v>
      </c>
      <c r="Q490" s="71" t="s">
        <v>35</v>
      </c>
      <c r="R490" s="71" t="s">
        <v>1485</v>
      </c>
      <c r="S490" s="9" t="str">
        <f t="shared" si="8"/>
        <v>https://www.analog.com/RH1078M/datasheet</v>
      </c>
    </row>
    <row r="491" spans="1:19" x14ac:dyDescent="0.25">
      <c r="A491" s="53" t="s">
        <v>1572</v>
      </c>
      <c r="B491" s="86" t="s">
        <v>1573</v>
      </c>
      <c r="C491" s="86" t="s">
        <v>1577</v>
      </c>
      <c r="D491" s="86" t="s">
        <v>53</v>
      </c>
      <c r="E491" s="86" t="s">
        <v>1491</v>
      </c>
      <c r="F491" s="59" t="s">
        <v>55</v>
      </c>
      <c r="G491" s="54" t="s">
        <v>28</v>
      </c>
      <c r="H491" s="54" t="s">
        <v>56</v>
      </c>
      <c r="I491" s="58">
        <v>100</v>
      </c>
      <c r="J491" s="22" t="s">
        <v>1575</v>
      </c>
      <c r="K491" s="11" t="s">
        <v>32</v>
      </c>
      <c r="L491" s="11" t="s">
        <v>32</v>
      </c>
      <c r="M491" s="11" t="s">
        <v>32</v>
      </c>
      <c r="N491" s="73" t="s">
        <v>32</v>
      </c>
      <c r="O491" s="71" t="s">
        <v>1469</v>
      </c>
      <c r="P491" s="53" t="s">
        <v>59</v>
      </c>
      <c r="Q491" s="71" t="s">
        <v>35</v>
      </c>
      <c r="R491" s="71" t="s">
        <v>1470</v>
      </c>
      <c r="S491" s="9" t="str">
        <f t="shared" si="8"/>
        <v>https://www.analog.com/RH1078M/datasheet</v>
      </c>
    </row>
    <row r="492" spans="1:19" x14ac:dyDescent="0.25">
      <c r="A492" s="53" t="s">
        <v>1572</v>
      </c>
      <c r="B492" s="86" t="s">
        <v>1573</v>
      </c>
      <c r="C492" s="86" t="s">
        <v>1578</v>
      </c>
      <c r="D492" s="86" t="s">
        <v>53</v>
      </c>
      <c r="E492" s="86" t="s">
        <v>1491</v>
      </c>
      <c r="F492" s="10" t="s">
        <v>41</v>
      </c>
      <c r="G492" s="54" t="s">
        <v>28</v>
      </c>
      <c r="H492" s="11" t="s">
        <v>42</v>
      </c>
      <c r="I492" s="16" t="s">
        <v>42</v>
      </c>
      <c r="J492" s="16" t="s">
        <v>42</v>
      </c>
      <c r="K492" s="11" t="s">
        <v>42</v>
      </c>
      <c r="L492" s="11" t="s">
        <v>42</v>
      </c>
      <c r="M492" s="11" t="s">
        <v>42</v>
      </c>
      <c r="N492" s="73" t="s">
        <v>42</v>
      </c>
      <c r="O492" s="102" t="s">
        <v>1469</v>
      </c>
      <c r="P492" s="88" t="s">
        <v>59</v>
      </c>
      <c r="Q492" s="71" t="s">
        <v>35</v>
      </c>
      <c r="R492" s="71" t="s">
        <v>1470</v>
      </c>
      <c r="S492" s="9" t="str">
        <f t="shared" si="8"/>
        <v>https://www.analog.com/RH1078M/datasheet</v>
      </c>
    </row>
    <row r="493" spans="1:19" x14ac:dyDescent="0.25">
      <c r="A493" s="53" t="s">
        <v>1579</v>
      </c>
      <c r="B493" s="86" t="s">
        <v>1580</v>
      </c>
      <c r="C493" s="86" t="s">
        <v>1581</v>
      </c>
      <c r="D493" s="86" t="s">
        <v>1202</v>
      </c>
      <c r="E493" s="86" t="s">
        <v>1582</v>
      </c>
      <c r="F493" s="61" t="s">
        <v>55</v>
      </c>
      <c r="G493" s="54" t="s">
        <v>1583</v>
      </c>
      <c r="H493" s="54" t="s">
        <v>56</v>
      </c>
      <c r="I493" s="58">
        <v>100</v>
      </c>
      <c r="J493" s="15" t="s">
        <v>1584</v>
      </c>
      <c r="K493" s="11" t="s">
        <v>32</v>
      </c>
      <c r="L493" s="11" t="s">
        <v>32</v>
      </c>
      <c r="M493" s="97">
        <v>1000000000001</v>
      </c>
      <c r="N493" s="15" t="s">
        <v>1585</v>
      </c>
      <c r="O493" s="71" t="s">
        <v>1586</v>
      </c>
      <c r="P493" s="88" t="s">
        <v>126</v>
      </c>
      <c r="Q493" s="71" t="s">
        <v>35</v>
      </c>
      <c r="R493" s="71" t="s">
        <v>1587</v>
      </c>
      <c r="S493" s="24" t="s">
        <v>1588</v>
      </c>
    </row>
    <row r="494" spans="1:19" x14ac:dyDescent="0.25">
      <c r="A494" s="53" t="s">
        <v>1579</v>
      </c>
      <c r="B494" s="86" t="s">
        <v>1580</v>
      </c>
      <c r="C494" s="86" t="s">
        <v>1589</v>
      </c>
      <c r="D494" s="86" t="s">
        <v>1202</v>
      </c>
      <c r="E494" s="86" t="s">
        <v>1582</v>
      </c>
      <c r="F494" s="59" t="s">
        <v>76</v>
      </c>
      <c r="G494" s="54" t="s">
        <v>1583</v>
      </c>
      <c r="H494" s="54" t="s">
        <v>56</v>
      </c>
      <c r="I494" s="58">
        <v>100</v>
      </c>
      <c r="J494" s="22" t="s">
        <v>1590</v>
      </c>
      <c r="K494" s="11" t="s">
        <v>32</v>
      </c>
      <c r="L494" s="11" t="s">
        <v>32</v>
      </c>
      <c r="M494" s="97">
        <v>1000000000000</v>
      </c>
      <c r="N494" s="15" t="s">
        <v>1585</v>
      </c>
      <c r="O494" s="71" t="s">
        <v>77</v>
      </c>
      <c r="P494" s="16" t="s">
        <v>42</v>
      </c>
      <c r="Q494" s="79" t="s">
        <v>42</v>
      </c>
      <c r="R494" s="79" t="s">
        <v>42</v>
      </c>
      <c r="S494" s="9" t="str">
        <f t="shared" ref="S494:S502" si="9">HYPERLINK(CONCATENATE("https://www.analog.com/", A494, "/datasheet"))</f>
        <v>https://www.analog.com/RH1086M/datasheet</v>
      </c>
    </row>
    <row r="495" spans="1:19" x14ac:dyDescent="0.25">
      <c r="A495" s="53" t="s">
        <v>1579</v>
      </c>
      <c r="B495" s="86" t="s">
        <v>1580</v>
      </c>
      <c r="C495" s="86" t="s">
        <v>1591</v>
      </c>
      <c r="D495" s="86" t="s">
        <v>1202</v>
      </c>
      <c r="E495" s="86" t="s">
        <v>1582</v>
      </c>
      <c r="F495" s="59" t="s">
        <v>55</v>
      </c>
      <c r="G495" s="54" t="s">
        <v>1583</v>
      </c>
      <c r="H495" s="54" t="s">
        <v>56</v>
      </c>
      <c r="I495" s="58">
        <v>100</v>
      </c>
      <c r="J495" s="22" t="s">
        <v>1590</v>
      </c>
      <c r="K495" s="11" t="s">
        <v>32</v>
      </c>
      <c r="L495" s="11" t="s">
        <v>32</v>
      </c>
      <c r="M495" s="97">
        <v>1000000000000</v>
      </c>
      <c r="N495" s="15" t="s">
        <v>1585</v>
      </c>
      <c r="O495" s="71" t="s">
        <v>1586</v>
      </c>
      <c r="P495" s="53" t="s">
        <v>126</v>
      </c>
      <c r="Q495" s="71" t="s">
        <v>35</v>
      </c>
      <c r="R495" s="71" t="s">
        <v>1587</v>
      </c>
      <c r="S495" s="9" t="str">
        <f t="shared" si="9"/>
        <v>https://www.analog.com/RH1086M/datasheet</v>
      </c>
    </row>
    <row r="496" spans="1:19" x14ac:dyDescent="0.25">
      <c r="A496" s="86" t="s">
        <v>1592</v>
      </c>
      <c r="B496" s="86" t="s">
        <v>1515</v>
      </c>
      <c r="C496" s="86" t="s">
        <v>1593</v>
      </c>
      <c r="D496" s="86" t="s">
        <v>53</v>
      </c>
      <c r="E496" s="86" t="s">
        <v>1491</v>
      </c>
      <c r="F496" s="59" t="s">
        <v>55</v>
      </c>
      <c r="G496" s="54" t="s">
        <v>28</v>
      </c>
      <c r="H496" s="54" t="s">
        <v>56</v>
      </c>
      <c r="I496" s="58">
        <v>80</v>
      </c>
      <c r="J496" s="15" t="s">
        <v>1594</v>
      </c>
      <c r="K496" s="11" t="s">
        <v>32</v>
      </c>
      <c r="L496" s="11" t="s">
        <v>32</v>
      </c>
      <c r="M496" s="11" t="s">
        <v>32</v>
      </c>
      <c r="N496" s="73" t="s">
        <v>32</v>
      </c>
      <c r="O496" s="71" t="s">
        <v>1484</v>
      </c>
      <c r="P496" s="88" t="s">
        <v>126</v>
      </c>
      <c r="Q496" s="71" t="s">
        <v>35</v>
      </c>
      <c r="R496" s="71" t="s">
        <v>1485</v>
      </c>
      <c r="S496" s="9" t="str">
        <f t="shared" si="9"/>
        <v>https://www.analog.com/RH108A/datasheet</v>
      </c>
    </row>
    <row r="497" spans="1:19" x14ac:dyDescent="0.25">
      <c r="A497" s="86" t="s">
        <v>1592</v>
      </c>
      <c r="B497" s="86" t="s">
        <v>1515</v>
      </c>
      <c r="C497" s="86" t="s">
        <v>1595</v>
      </c>
      <c r="D497" s="86" t="s">
        <v>53</v>
      </c>
      <c r="E497" s="86" t="s">
        <v>1491</v>
      </c>
      <c r="F497" s="10" t="s">
        <v>41</v>
      </c>
      <c r="G497" s="54" t="s">
        <v>28</v>
      </c>
      <c r="H497" s="11" t="s">
        <v>42</v>
      </c>
      <c r="I497" s="16" t="s">
        <v>42</v>
      </c>
      <c r="J497" s="16" t="s">
        <v>42</v>
      </c>
      <c r="K497" s="11" t="s">
        <v>42</v>
      </c>
      <c r="L497" s="11" t="s">
        <v>42</v>
      </c>
      <c r="M497" s="11" t="s">
        <v>42</v>
      </c>
      <c r="N497" s="73" t="s">
        <v>42</v>
      </c>
      <c r="O497" s="71" t="s">
        <v>1484</v>
      </c>
      <c r="P497" s="88" t="s">
        <v>126</v>
      </c>
      <c r="Q497" s="71" t="s">
        <v>35</v>
      </c>
      <c r="R497" s="71" t="s">
        <v>1485</v>
      </c>
      <c r="S497" s="9" t="str">
        <f t="shared" si="9"/>
        <v>https://www.analog.com/RH108A/datasheet</v>
      </c>
    </row>
    <row r="498" spans="1:19" x14ac:dyDescent="0.25">
      <c r="A498" s="53" t="s">
        <v>1592</v>
      </c>
      <c r="B498" s="86" t="s">
        <v>1515</v>
      </c>
      <c r="C498" s="86" t="s">
        <v>1596</v>
      </c>
      <c r="D498" s="86" t="s">
        <v>53</v>
      </c>
      <c r="E498" s="86" t="s">
        <v>1491</v>
      </c>
      <c r="F498" s="59" t="s">
        <v>55</v>
      </c>
      <c r="G498" s="54" t="s">
        <v>28</v>
      </c>
      <c r="H498" s="54" t="s">
        <v>56</v>
      </c>
      <c r="I498" s="58">
        <v>80</v>
      </c>
      <c r="J498" s="15" t="s">
        <v>1594</v>
      </c>
      <c r="K498" s="16" t="s">
        <v>32</v>
      </c>
      <c r="L498" s="16" t="s">
        <v>32</v>
      </c>
      <c r="M498" s="16" t="s">
        <v>32</v>
      </c>
      <c r="N498" s="16" t="s">
        <v>32</v>
      </c>
      <c r="O498" s="71" t="s">
        <v>1469</v>
      </c>
      <c r="P498" s="88" t="s">
        <v>34</v>
      </c>
      <c r="Q498" s="71" t="s">
        <v>35</v>
      </c>
      <c r="R498" s="71" t="s">
        <v>1470</v>
      </c>
      <c r="S498" s="9" t="str">
        <f t="shared" si="9"/>
        <v>https://www.analog.com/RH108A/datasheet</v>
      </c>
    </row>
    <row r="499" spans="1:19" x14ac:dyDescent="0.25">
      <c r="A499" s="53" t="s">
        <v>1597</v>
      </c>
      <c r="B499" s="86" t="s">
        <v>1598</v>
      </c>
      <c r="C499" s="86" t="s">
        <v>1599</v>
      </c>
      <c r="D499" s="86" t="s">
        <v>53</v>
      </c>
      <c r="E499" s="86" t="s">
        <v>475</v>
      </c>
      <c r="F499" s="59" t="s">
        <v>55</v>
      </c>
      <c r="G499" s="54" t="s">
        <v>28</v>
      </c>
      <c r="H499" s="54" t="s">
        <v>56</v>
      </c>
      <c r="I499" s="27">
        <v>100</v>
      </c>
      <c r="J499" s="22" t="s">
        <v>1600</v>
      </c>
      <c r="K499" s="11" t="s">
        <v>32</v>
      </c>
      <c r="L499" s="11" t="s">
        <v>32</v>
      </c>
      <c r="M499" s="11" t="s">
        <v>32</v>
      </c>
      <c r="N499" s="73" t="s">
        <v>32</v>
      </c>
      <c r="O499" s="71" t="s">
        <v>1469</v>
      </c>
      <c r="P499" s="53" t="s">
        <v>59</v>
      </c>
      <c r="Q499" s="71" t="s">
        <v>35</v>
      </c>
      <c r="R499" s="71" t="s">
        <v>1470</v>
      </c>
      <c r="S499" s="9" t="str">
        <f t="shared" si="9"/>
        <v>https://www.analog.com/RH1128M/datasheet</v>
      </c>
    </row>
    <row r="500" spans="1:19" x14ac:dyDescent="0.25">
      <c r="A500" s="86" t="s">
        <v>1601</v>
      </c>
      <c r="B500" s="86" t="s">
        <v>1602</v>
      </c>
      <c r="C500" s="86" t="s">
        <v>1603</v>
      </c>
      <c r="D500" s="86" t="s">
        <v>1202</v>
      </c>
      <c r="E500" s="86" t="s">
        <v>1582</v>
      </c>
      <c r="F500" s="59" t="s">
        <v>55</v>
      </c>
      <c r="G500" s="54" t="s">
        <v>1583</v>
      </c>
      <c r="H500" s="54" t="s">
        <v>56</v>
      </c>
      <c r="I500" s="27">
        <v>100</v>
      </c>
      <c r="J500" s="22" t="s">
        <v>1604</v>
      </c>
      <c r="K500" s="11" t="s">
        <v>32</v>
      </c>
      <c r="L500" s="11" t="s">
        <v>32</v>
      </c>
      <c r="M500" s="97">
        <v>1000000000000</v>
      </c>
      <c r="N500" s="15" t="s">
        <v>1605</v>
      </c>
      <c r="O500" s="71" t="s">
        <v>1586</v>
      </c>
      <c r="P500" s="53" t="s">
        <v>126</v>
      </c>
      <c r="Q500" s="71" t="s">
        <v>35</v>
      </c>
      <c r="R500" s="71" t="s">
        <v>1587</v>
      </c>
      <c r="S500" s="9" t="str">
        <f t="shared" si="9"/>
        <v>https://www.analog.com/RH117/datasheet</v>
      </c>
    </row>
    <row r="501" spans="1:19" x14ac:dyDescent="0.25">
      <c r="A501" s="53" t="s">
        <v>1601</v>
      </c>
      <c r="B501" s="86" t="s">
        <v>1602</v>
      </c>
      <c r="C501" s="86" t="s">
        <v>1606</v>
      </c>
      <c r="D501" s="86" t="s">
        <v>1202</v>
      </c>
      <c r="E501" s="86" t="s">
        <v>1582</v>
      </c>
      <c r="F501" s="59" t="s">
        <v>76</v>
      </c>
      <c r="G501" s="54" t="s">
        <v>1583</v>
      </c>
      <c r="H501" s="54" t="s">
        <v>56</v>
      </c>
      <c r="I501" s="27">
        <v>100</v>
      </c>
      <c r="J501" s="22" t="s">
        <v>1604</v>
      </c>
      <c r="K501" s="11" t="s">
        <v>32</v>
      </c>
      <c r="L501" s="11" t="s">
        <v>32</v>
      </c>
      <c r="M501" s="97">
        <v>1000000000000</v>
      </c>
      <c r="N501" s="22" t="s">
        <v>1607</v>
      </c>
      <c r="O501" s="71" t="s">
        <v>77</v>
      </c>
      <c r="P501" s="79" t="s">
        <v>42</v>
      </c>
      <c r="Q501" s="79" t="s">
        <v>42</v>
      </c>
      <c r="R501" s="79" t="s">
        <v>42</v>
      </c>
      <c r="S501" s="9" t="str">
        <f t="shared" si="9"/>
        <v>https://www.analog.com/RH117/datasheet</v>
      </c>
    </row>
    <row r="502" spans="1:19" x14ac:dyDescent="0.25">
      <c r="A502" s="53" t="s">
        <v>1608</v>
      </c>
      <c r="B502" s="86" t="s">
        <v>1609</v>
      </c>
      <c r="C502" s="31" t="s">
        <v>1610</v>
      </c>
      <c r="D502" s="86" t="s">
        <v>53</v>
      </c>
      <c r="E502" s="86" t="s">
        <v>365</v>
      </c>
      <c r="F502" s="59" t="s">
        <v>55</v>
      </c>
      <c r="G502" s="54" t="s">
        <v>28</v>
      </c>
      <c r="H502" s="54" t="s">
        <v>56</v>
      </c>
      <c r="I502" s="58">
        <v>100</v>
      </c>
      <c r="J502" s="22" t="s">
        <v>1611</v>
      </c>
      <c r="K502" s="11" t="s">
        <v>32</v>
      </c>
      <c r="L502" s="11" t="s">
        <v>32</v>
      </c>
      <c r="M502" s="11" t="s">
        <v>32</v>
      </c>
      <c r="N502" s="73" t="s">
        <v>32</v>
      </c>
      <c r="O502" s="71" t="s">
        <v>1469</v>
      </c>
      <c r="P502" s="53" t="s">
        <v>59</v>
      </c>
      <c r="Q502" s="71" t="s">
        <v>35</v>
      </c>
      <c r="R502" s="71" t="s">
        <v>1470</v>
      </c>
      <c r="S502" s="9" t="str">
        <f t="shared" si="9"/>
        <v>https://www.analog.com/RH118/datasheet</v>
      </c>
    </row>
    <row r="503" spans="1:19" x14ac:dyDescent="0.25">
      <c r="A503" s="45" t="s">
        <v>1612</v>
      </c>
      <c r="B503" s="86" t="s">
        <v>1613</v>
      </c>
      <c r="C503" s="31" t="s">
        <v>1614</v>
      </c>
      <c r="D503" s="86" t="s">
        <v>1202</v>
      </c>
      <c r="E503" s="86" t="s">
        <v>1615</v>
      </c>
      <c r="F503" s="59" t="s">
        <v>76</v>
      </c>
      <c r="G503" s="54" t="s">
        <v>28</v>
      </c>
      <c r="H503" s="54" t="s">
        <v>56</v>
      </c>
      <c r="I503" s="58">
        <v>100</v>
      </c>
      <c r="J503" s="22" t="s">
        <v>1616</v>
      </c>
      <c r="K503" s="11" t="s">
        <v>32</v>
      </c>
      <c r="L503" s="11" t="s">
        <v>32</v>
      </c>
      <c r="M503" s="11" t="s">
        <v>32</v>
      </c>
      <c r="N503" s="73" t="s">
        <v>32</v>
      </c>
      <c r="O503" s="71" t="s">
        <v>77</v>
      </c>
      <c r="P503" s="79" t="s">
        <v>42</v>
      </c>
      <c r="Q503" s="79" t="s">
        <v>42</v>
      </c>
      <c r="R503" s="79" t="s">
        <v>42</v>
      </c>
      <c r="S503" s="9" t="s">
        <v>1617</v>
      </c>
    </row>
    <row r="504" spans="1:19" x14ac:dyDescent="0.25">
      <c r="A504" s="53" t="s">
        <v>1618</v>
      </c>
      <c r="B504" s="86" t="s">
        <v>1619</v>
      </c>
      <c r="C504" s="31" t="s">
        <v>1620</v>
      </c>
      <c r="D504" s="86" t="s">
        <v>68</v>
      </c>
      <c r="E504" s="86" t="s">
        <v>347</v>
      </c>
      <c r="F504" s="59" t="s">
        <v>76</v>
      </c>
      <c r="G504" s="54" t="s">
        <v>28</v>
      </c>
      <c r="H504" s="54" t="s">
        <v>56</v>
      </c>
      <c r="I504" s="58">
        <v>100</v>
      </c>
      <c r="J504" s="22" t="s">
        <v>1621</v>
      </c>
      <c r="K504" s="11" t="s">
        <v>32</v>
      </c>
      <c r="L504" s="11" t="s">
        <v>32</v>
      </c>
      <c r="M504" s="11" t="s">
        <v>32</v>
      </c>
      <c r="N504" s="73" t="s">
        <v>32</v>
      </c>
      <c r="O504" s="71" t="s">
        <v>77</v>
      </c>
      <c r="P504" s="16" t="s">
        <v>42</v>
      </c>
      <c r="Q504" s="79" t="s">
        <v>42</v>
      </c>
      <c r="R504" s="79" t="s">
        <v>42</v>
      </c>
      <c r="S504" s="9" t="str">
        <f t="shared" ref="S504:S510" si="10">HYPERLINK(CONCATENATE("https://www.analog.com/", A504, "/datasheet"))</f>
        <v>https://www.analog.com/RH119/datasheet</v>
      </c>
    </row>
    <row r="505" spans="1:19" x14ac:dyDescent="0.25">
      <c r="A505" s="86" t="s">
        <v>1618</v>
      </c>
      <c r="B505" s="86" t="s">
        <v>1619</v>
      </c>
      <c r="C505" s="31" t="s">
        <v>1622</v>
      </c>
      <c r="D505" s="86" t="s">
        <v>68</v>
      </c>
      <c r="E505" s="86" t="s">
        <v>347</v>
      </c>
      <c r="F505" s="59" t="s">
        <v>55</v>
      </c>
      <c r="G505" s="54" t="s">
        <v>28</v>
      </c>
      <c r="H505" s="54" t="s">
        <v>56</v>
      </c>
      <c r="I505" s="58">
        <v>100</v>
      </c>
      <c r="J505" s="22" t="s">
        <v>1621</v>
      </c>
      <c r="K505" s="16" t="s">
        <v>32</v>
      </c>
      <c r="L505" s="16" t="s">
        <v>32</v>
      </c>
      <c r="M505" s="16" t="s">
        <v>32</v>
      </c>
      <c r="N505" s="16" t="s">
        <v>32</v>
      </c>
      <c r="O505" s="71" t="s">
        <v>1469</v>
      </c>
      <c r="P505" s="88" t="s">
        <v>59</v>
      </c>
      <c r="Q505" s="71" t="s">
        <v>35</v>
      </c>
      <c r="R505" s="71" t="s">
        <v>1470</v>
      </c>
      <c r="S505" s="9" t="str">
        <f t="shared" si="10"/>
        <v>https://www.analog.com/RH119/datasheet</v>
      </c>
    </row>
    <row r="506" spans="1:19" x14ac:dyDescent="0.25">
      <c r="A506" s="86" t="s">
        <v>1618</v>
      </c>
      <c r="B506" s="86" t="s">
        <v>1619</v>
      </c>
      <c r="C506" s="31" t="s">
        <v>1623</v>
      </c>
      <c r="D506" s="86" t="s">
        <v>68</v>
      </c>
      <c r="E506" s="86" t="s">
        <v>347</v>
      </c>
      <c r="F506" s="10" t="s">
        <v>41</v>
      </c>
      <c r="G506" s="54" t="s">
        <v>28</v>
      </c>
      <c r="H506" s="11" t="s">
        <v>42</v>
      </c>
      <c r="I506" s="16" t="s">
        <v>42</v>
      </c>
      <c r="J506" s="16" t="s">
        <v>42</v>
      </c>
      <c r="K506" s="11" t="s">
        <v>42</v>
      </c>
      <c r="L506" s="11" t="s">
        <v>42</v>
      </c>
      <c r="M506" s="11" t="s">
        <v>42</v>
      </c>
      <c r="N506" s="73" t="s">
        <v>42</v>
      </c>
      <c r="O506" s="71" t="s">
        <v>1469</v>
      </c>
      <c r="P506" s="88" t="s">
        <v>59</v>
      </c>
      <c r="Q506" s="71" t="s">
        <v>35</v>
      </c>
      <c r="R506" s="71" t="s">
        <v>1470</v>
      </c>
      <c r="S506" s="9" t="str">
        <f t="shared" si="10"/>
        <v>https://www.analog.com/RH119/datasheet</v>
      </c>
    </row>
    <row r="507" spans="1:19" x14ac:dyDescent="0.25">
      <c r="A507" s="53" t="s">
        <v>1624</v>
      </c>
      <c r="B507" s="86" t="s">
        <v>1625</v>
      </c>
      <c r="C507" s="31" t="s">
        <v>1626</v>
      </c>
      <c r="D507" s="86" t="s">
        <v>68</v>
      </c>
      <c r="E507" s="86" t="s">
        <v>145</v>
      </c>
      <c r="F507" s="59" t="s">
        <v>55</v>
      </c>
      <c r="G507" s="54" t="s">
        <v>28</v>
      </c>
      <c r="H507" s="54" t="s">
        <v>56</v>
      </c>
      <c r="I507" s="55">
        <v>100</v>
      </c>
      <c r="J507" s="55" t="s">
        <v>542</v>
      </c>
      <c r="K507" s="11" t="s">
        <v>32</v>
      </c>
      <c r="L507" s="11" t="s">
        <v>32</v>
      </c>
      <c r="M507" s="11" t="s">
        <v>32</v>
      </c>
      <c r="N507" s="73" t="s">
        <v>32</v>
      </c>
      <c r="O507" s="71" t="s">
        <v>1627</v>
      </c>
      <c r="P507" s="53" t="s">
        <v>126</v>
      </c>
      <c r="Q507" s="71" t="s">
        <v>35</v>
      </c>
      <c r="R507" s="71" t="s">
        <v>1473</v>
      </c>
      <c r="S507" s="9" t="str">
        <f t="shared" si="10"/>
        <v>https://www.analog.com/RH129/datasheet</v>
      </c>
    </row>
    <row r="508" spans="1:19" x14ac:dyDescent="0.25">
      <c r="A508" s="86" t="s">
        <v>1628</v>
      </c>
      <c r="B508" s="86" t="s">
        <v>1629</v>
      </c>
      <c r="C508" s="31" t="s">
        <v>1630</v>
      </c>
      <c r="D508" s="86" t="s">
        <v>1202</v>
      </c>
      <c r="E508" s="86" t="s">
        <v>1615</v>
      </c>
      <c r="F508" s="59" t="s">
        <v>55</v>
      </c>
      <c r="G508" s="54" t="s">
        <v>1583</v>
      </c>
      <c r="H508" s="54" t="s">
        <v>56</v>
      </c>
      <c r="I508" s="58">
        <v>100</v>
      </c>
      <c r="J508" s="22" t="s">
        <v>1631</v>
      </c>
      <c r="K508" s="11" t="s">
        <v>32</v>
      </c>
      <c r="L508" s="11" t="s">
        <v>32</v>
      </c>
      <c r="M508" s="97">
        <v>1000000000000</v>
      </c>
      <c r="N508" s="22" t="s">
        <v>1632</v>
      </c>
      <c r="O508" s="71" t="s">
        <v>1586</v>
      </c>
      <c r="P508" s="53" t="s">
        <v>126</v>
      </c>
      <c r="Q508" s="71" t="s">
        <v>35</v>
      </c>
      <c r="R508" s="71" t="s">
        <v>1587</v>
      </c>
      <c r="S508" s="9" t="str">
        <f t="shared" si="10"/>
        <v>https://www.analog.com/RH137/datasheet</v>
      </c>
    </row>
    <row r="509" spans="1:19" x14ac:dyDescent="0.25">
      <c r="A509" s="86" t="s">
        <v>1628</v>
      </c>
      <c r="B509" s="86" t="s">
        <v>1629</v>
      </c>
      <c r="C509" s="31" t="s">
        <v>1633</v>
      </c>
      <c r="D509" s="86" t="s">
        <v>1202</v>
      </c>
      <c r="E509" s="86" t="s">
        <v>1615</v>
      </c>
      <c r="F509" s="59" t="s">
        <v>76</v>
      </c>
      <c r="G509" s="54" t="s">
        <v>1583</v>
      </c>
      <c r="H509" s="54" t="s">
        <v>56</v>
      </c>
      <c r="I509" s="58">
        <v>100</v>
      </c>
      <c r="J509" s="22" t="s">
        <v>1631</v>
      </c>
      <c r="K509" s="11" t="s">
        <v>32</v>
      </c>
      <c r="L509" s="11" t="s">
        <v>32</v>
      </c>
      <c r="M509" s="97">
        <v>1000000000000</v>
      </c>
      <c r="N509" s="22" t="s">
        <v>1632</v>
      </c>
      <c r="O509" s="71" t="s">
        <v>77</v>
      </c>
      <c r="P509" s="16" t="s">
        <v>42</v>
      </c>
      <c r="Q509" s="79" t="s">
        <v>42</v>
      </c>
      <c r="R509" s="79" t="s">
        <v>42</v>
      </c>
      <c r="S509" s="9" t="str">
        <f t="shared" si="10"/>
        <v>https://www.analog.com/RH137/datasheet</v>
      </c>
    </row>
    <row r="510" spans="1:19" x14ac:dyDescent="0.25">
      <c r="A510" s="53" t="s">
        <v>1628</v>
      </c>
      <c r="B510" s="86" t="s">
        <v>1629</v>
      </c>
      <c r="C510" s="31" t="s">
        <v>1634</v>
      </c>
      <c r="D510" s="86" t="s">
        <v>1202</v>
      </c>
      <c r="E510" s="86" t="s">
        <v>1615</v>
      </c>
      <c r="F510" s="59" t="s">
        <v>76</v>
      </c>
      <c r="G510" s="54" t="s">
        <v>1583</v>
      </c>
      <c r="H510" s="54" t="s">
        <v>56</v>
      </c>
      <c r="I510" s="58">
        <v>100</v>
      </c>
      <c r="J510" s="22" t="s">
        <v>1631</v>
      </c>
      <c r="K510" s="11" t="s">
        <v>32</v>
      </c>
      <c r="L510" s="11" t="s">
        <v>32</v>
      </c>
      <c r="M510" s="97">
        <v>1000000000000</v>
      </c>
      <c r="N510" s="22" t="s">
        <v>1632</v>
      </c>
      <c r="O510" s="71" t="s">
        <v>77</v>
      </c>
      <c r="P510" s="79" t="s">
        <v>42</v>
      </c>
      <c r="Q510" s="79" t="s">
        <v>42</v>
      </c>
      <c r="R510" s="79" t="s">
        <v>42</v>
      </c>
      <c r="S510" s="9" t="str">
        <f t="shared" si="10"/>
        <v>https://www.analog.com/RH137/datasheet</v>
      </c>
    </row>
    <row r="511" spans="1:19" x14ac:dyDescent="0.25">
      <c r="A511" s="53" t="s">
        <v>1635</v>
      </c>
      <c r="B511" s="86" t="s">
        <v>1636</v>
      </c>
      <c r="C511" s="31" t="s">
        <v>1637</v>
      </c>
      <c r="D511" s="86" t="s">
        <v>53</v>
      </c>
      <c r="E511" s="86" t="s">
        <v>365</v>
      </c>
      <c r="F511" s="61" t="s">
        <v>1464</v>
      </c>
      <c r="G511" s="54" t="s">
        <v>28</v>
      </c>
      <c r="H511" s="54" t="s">
        <v>56</v>
      </c>
      <c r="I511" s="27">
        <v>100</v>
      </c>
      <c r="J511" s="22" t="s">
        <v>1638</v>
      </c>
      <c r="K511" s="58">
        <v>117.5</v>
      </c>
      <c r="L511" s="22" t="s">
        <v>1639</v>
      </c>
      <c r="M511" s="97">
        <v>1000000000000</v>
      </c>
      <c r="N511" s="20" t="s">
        <v>1640</v>
      </c>
      <c r="O511" s="71" t="s">
        <v>77</v>
      </c>
      <c r="P511" s="79" t="s">
        <v>42</v>
      </c>
      <c r="Q511" s="79" t="s">
        <v>42</v>
      </c>
      <c r="R511" s="79" t="s">
        <v>42</v>
      </c>
      <c r="S511" s="24" t="s">
        <v>1641</v>
      </c>
    </row>
    <row r="512" spans="1:19" x14ac:dyDescent="0.25">
      <c r="A512" s="30" t="s">
        <v>1635</v>
      </c>
      <c r="B512" s="86" t="s">
        <v>1636</v>
      </c>
      <c r="C512" s="31" t="s">
        <v>1642</v>
      </c>
      <c r="D512" s="86" t="s">
        <v>53</v>
      </c>
      <c r="E512" s="86" t="s">
        <v>365</v>
      </c>
      <c r="F512" s="61" t="s">
        <v>55</v>
      </c>
      <c r="G512" s="54" t="s">
        <v>28</v>
      </c>
      <c r="H512" s="54" t="s">
        <v>56</v>
      </c>
      <c r="I512" s="27">
        <v>100</v>
      </c>
      <c r="J512" s="15" t="s">
        <v>1643</v>
      </c>
      <c r="K512" s="66">
        <v>117.5</v>
      </c>
      <c r="L512" s="15" t="s">
        <v>1639</v>
      </c>
      <c r="M512" s="98">
        <v>1000000000000</v>
      </c>
      <c r="N512" s="20" t="s">
        <v>1640</v>
      </c>
      <c r="O512" s="71" t="s">
        <v>1469</v>
      </c>
      <c r="P512" s="53" t="s">
        <v>59</v>
      </c>
      <c r="Q512" s="71" t="s">
        <v>35</v>
      </c>
      <c r="R512" s="71" t="s">
        <v>1470</v>
      </c>
      <c r="S512" s="9" t="s">
        <v>1641</v>
      </c>
    </row>
    <row r="513" spans="1:19" x14ac:dyDescent="0.25">
      <c r="A513" s="53" t="s">
        <v>1635</v>
      </c>
      <c r="B513" s="86" t="s">
        <v>1636</v>
      </c>
      <c r="C513" s="31" t="s">
        <v>1644</v>
      </c>
      <c r="D513" s="86" t="s">
        <v>53</v>
      </c>
      <c r="E513" s="86" t="s">
        <v>365</v>
      </c>
      <c r="F513" s="59" t="s">
        <v>76</v>
      </c>
      <c r="G513" s="54" t="s">
        <v>28</v>
      </c>
      <c r="H513" s="54" t="s">
        <v>56</v>
      </c>
      <c r="I513" s="58">
        <v>100</v>
      </c>
      <c r="J513" s="22" t="s">
        <v>1638</v>
      </c>
      <c r="K513" s="58">
        <v>117.5</v>
      </c>
      <c r="L513" s="22" t="s">
        <v>1639</v>
      </c>
      <c r="M513" s="97">
        <v>1000000000000</v>
      </c>
      <c r="N513" s="20" t="s">
        <v>1640</v>
      </c>
      <c r="O513" s="71" t="s">
        <v>77</v>
      </c>
      <c r="P513" s="16" t="s">
        <v>42</v>
      </c>
      <c r="Q513" s="79" t="s">
        <v>42</v>
      </c>
      <c r="R513" s="79" t="s">
        <v>42</v>
      </c>
      <c r="S513" s="9" t="str">
        <f>HYPERLINK(CONCATENATE("https://www.analog.com/", A513, "/datasheet"))</f>
        <v>https://www.analog.com/RH1498M/datasheet</v>
      </c>
    </row>
    <row r="514" spans="1:19" x14ac:dyDescent="0.25">
      <c r="A514" s="86" t="s">
        <v>1635</v>
      </c>
      <c r="B514" s="86" t="s">
        <v>1636</v>
      </c>
      <c r="C514" s="31" t="s">
        <v>1645</v>
      </c>
      <c r="D514" s="86" t="s">
        <v>53</v>
      </c>
      <c r="E514" s="86" t="s">
        <v>365</v>
      </c>
      <c r="F514" s="59" t="s">
        <v>55</v>
      </c>
      <c r="G514" s="54" t="s">
        <v>28</v>
      </c>
      <c r="H514" s="54" t="s">
        <v>56</v>
      </c>
      <c r="I514" s="58">
        <v>100</v>
      </c>
      <c r="J514" s="22" t="s">
        <v>1643</v>
      </c>
      <c r="K514" s="58">
        <v>117.5</v>
      </c>
      <c r="L514" s="22" t="s">
        <v>1639</v>
      </c>
      <c r="M514" s="97">
        <v>1000000000000</v>
      </c>
      <c r="N514" s="20" t="s">
        <v>1640</v>
      </c>
      <c r="O514" s="71" t="s">
        <v>1469</v>
      </c>
      <c r="P514" s="53" t="s">
        <v>59</v>
      </c>
      <c r="Q514" s="71" t="s">
        <v>35</v>
      </c>
      <c r="R514" s="71" t="s">
        <v>1470</v>
      </c>
      <c r="S514" s="9" t="str">
        <f>HYPERLINK(CONCATENATE("https://www.analog.com/", A514, "/datasheet"))</f>
        <v>https://www.analog.com/RH1498M/datasheet</v>
      </c>
    </row>
    <row r="515" spans="1:19" x14ac:dyDescent="0.25">
      <c r="A515" s="53" t="s">
        <v>1635</v>
      </c>
      <c r="B515" s="86" t="s">
        <v>1636</v>
      </c>
      <c r="C515" s="31" t="s">
        <v>1646</v>
      </c>
      <c r="D515" s="86" t="s">
        <v>53</v>
      </c>
      <c r="E515" s="86" t="s">
        <v>365</v>
      </c>
      <c r="F515" s="10" t="s">
        <v>41</v>
      </c>
      <c r="G515" s="54" t="s">
        <v>28</v>
      </c>
      <c r="H515" s="11" t="s">
        <v>42</v>
      </c>
      <c r="I515" s="16" t="s">
        <v>42</v>
      </c>
      <c r="J515" s="16" t="s">
        <v>42</v>
      </c>
      <c r="K515" s="16" t="s">
        <v>42</v>
      </c>
      <c r="L515" s="16" t="s">
        <v>42</v>
      </c>
      <c r="M515" s="16" t="s">
        <v>42</v>
      </c>
      <c r="N515" s="16" t="s">
        <v>42</v>
      </c>
      <c r="O515" s="71" t="s">
        <v>1469</v>
      </c>
      <c r="P515" s="53" t="s">
        <v>59</v>
      </c>
      <c r="Q515" s="71" t="s">
        <v>35</v>
      </c>
      <c r="R515" s="71" t="s">
        <v>1470</v>
      </c>
      <c r="S515" s="9" t="str">
        <f>HYPERLINK(CONCATENATE("https://www.analog.com/", A515, "/datasheet"))</f>
        <v>https://www.analog.com/RH1498M/datasheet</v>
      </c>
    </row>
    <row r="516" spans="1:19" x14ac:dyDescent="0.25">
      <c r="A516" s="53" t="s">
        <v>1647</v>
      </c>
      <c r="B516" s="86" t="s">
        <v>1648</v>
      </c>
      <c r="C516" s="31" t="s">
        <v>1649</v>
      </c>
      <c r="D516" s="86" t="s">
        <v>53</v>
      </c>
      <c r="E516" s="86" t="s">
        <v>365</v>
      </c>
      <c r="F516" s="61" t="s">
        <v>55</v>
      </c>
      <c r="G516" s="54" t="s">
        <v>28</v>
      </c>
      <c r="H516" s="54" t="s">
        <v>56</v>
      </c>
      <c r="I516" s="27">
        <v>100</v>
      </c>
      <c r="J516" s="22" t="s">
        <v>1650</v>
      </c>
      <c r="K516" s="58">
        <v>117.5</v>
      </c>
      <c r="L516" s="20" t="s">
        <v>1651</v>
      </c>
      <c r="M516" s="11" t="s">
        <v>32</v>
      </c>
      <c r="N516" s="73" t="s">
        <v>32</v>
      </c>
      <c r="O516" s="71" t="s">
        <v>1504</v>
      </c>
      <c r="P516" s="53" t="s">
        <v>59</v>
      </c>
      <c r="Q516" s="71" t="s">
        <v>35</v>
      </c>
      <c r="R516" s="71" t="s">
        <v>1505</v>
      </c>
      <c r="S516" s="24" t="s">
        <v>1652</v>
      </c>
    </row>
    <row r="517" spans="1:19" x14ac:dyDescent="0.25">
      <c r="A517" s="53" t="s">
        <v>1647</v>
      </c>
      <c r="B517" s="86" t="s">
        <v>1648</v>
      </c>
      <c r="C517" s="31" t="s">
        <v>1653</v>
      </c>
      <c r="D517" s="86" t="s">
        <v>53</v>
      </c>
      <c r="E517" s="86" t="s">
        <v>365</v>
      </c>
      <c r="F517" s="59" t="s">
        <v>55</v>
      </c>
      <c r="G517" s="54" t="s">
        <v>28</v>
      </c>
      <c r="H517" s="54" t="s">
        <v>56</v>
      </c>
      <c r="I517" s="58">
        <v>100</v>
      </c>
      <c r="J517" s="22" t="s">
        <v>1650</v>
      </c>
      <c r="K517" s="58">
        <v>117.5</v>
      </c>
      <c r="L517" s="20" t="s">
        <v>1651</v>
      </c>
      <c r="M517" s="11" t="s">
        <v>32</v>
      </c>
      <c r="N517" s="73" t="s">
        <v>32</v>
      </c>
      <c r="O517" s="71" t="s">
        <v>1504</v>
      </c>
      <c r="P517" s="53" t="s">
        <v>59</v>
      </c>
      <c r="Q517" s="71" t="s">
        <v>35</v>
      </c>
      <c r="R517" s="71" t="s">
        <v>1505</v>
      </c>
      <c r="S517" s="9" t="str">
        <f>HYPERLINK(CONCATENATE("https://www.analog.com/", A517, "/datasheet"))</f>
        <v>https://www.analog.com/RH1499M/datasheet</v>
      </c>
    </row>
    <row r="518" spans="1:19" x14ac:dyDescent="0.25">
      <c r="A518" s="86" t="s">
        <v>1647</v>
      </c>
      <c r="B518" s="86" t="s">
        <v>1648</v>
      </c>
      <c r="C518" s="86" t="s">
        <v>1654</v>
      </c>
      <c r="D518" s="86" t="s">
        <v>53</v>
      </c>
      <c r="E518" s="86" t="s">
        <v>365</v>
      </c>
      <c r="F518" s="10" t="s">
        <v>41</v>
      </c>
      <c r="G518" s="54" t="s">
        <v>28</v>
      </c>
      <c r="H518" s="11" t="s">
        <v>42</v>
      </c>
      <c r="I518" s="16" t="s">
        <v>42</v>
      </c>
      <c r="J518" s="16" t="s">
        <v>42</v>
      </c>
      <c r="K518" s="16" t="s">
        <v>42</v>
      </c>
      <c r="L518" s="16" t="s">
        <v>42</v>
      </c>
      <c r="M518" s="16" t="s">
        <v>42</v>
      </c>
      <c r="N518" s="16" t="s">
        <v>42</v>
      </c>
      <c r="O518" s="71" t="s">
        <v>1504</v>
      </c>
      <c r="P518" s="53" t="s">
        <v>59</v>
      </c>
      <c r="Q518" s="71" t="s">
        <v>35</v>
      </c>
      <c r="R518" s="71" t="s">
        <v>1505</v>
      </c>
      <c r="S518" s="9" t="str">
        <f>HYPERLINK(CONCATENATE("https://www.analog.com/", A518, "/datasheet"))</f>
        <v>https://www.analog.com/RH1499M/datasheet</v>
      </c>
    </row>
    <row r="519" spans="1:19" x14ac:dyDescent="0.25">
      <c r="A519" s="86" t="s">
        <v>1655</v>
      </c>
      <c r="B519" s="86" t="s">
        <v>1656</v>
      </c>
      <c r="C519" s="31" t="s">
        <v>1657</v>
      </c>
      <c r="D519" s="86" t="s">
        <v>1202</v>
      </c>
      <c r="E519" s="86" t="s">
        <v>1658</v>
      </c>
      <c r="F519" s="59" t="s">
        <v>76</v>
      </c>
      <c r="G519" s="54" t="s">
        <v>28</v>
      </c>
      <c r="H519" s="54" t="s">
        <v>56</v>
      </c>
      <c r="I519" s="58">
        <v>100</v>
      </c>
      <c r="J519" s="15" t="s">
        <v>1659</v>
      </c>
      <c r="K519" s="11" t="s">
        <v>32</v>
      </c>
      <c r="L519" s="11" t="s">
        <v>32</v>
      </c>
      <c r="M519" s="11" t="s">
        <v>32</v>
      </c>
      <c r="N519" s="73" t="s">
        <v>32</v>
      </c>
      <c r="O519" s="71" t="s">
        <v>77</v>
      </c>
      <c r="P519" s="79" t="s">
        <v>42</v>
      </c>
      <c r="Q519" s="79" t="s">
        <v>42</v>
      </c>
      <c r="R519" s="79" t="s">
        <v>42</v>
      </c>
      <c r="S519" s="9" t="s">
        <v>1660</v>
      </c>
    </row>
    <row r="520" spans="1:19" x14ac:dyDescent="0.25">
      <c r="A520" s="53" t="s">
        <v>1661</v>
      </c>
      <c r="B520" s="86" t="s">
        <v>1662</v>
      </c>
      <c r="C520" s="31" t="s">
        <v>1663</v>
      </c>
      <c r="D520" s="86" t="s">
        <v>53</v>
      </c>
      <c r="E520" s="86" t="s">
        <v>228</v>
      </c>
      <c r="F520" s="59" t="s">
        <v>76</v>
      </c>
      <c r="G520" s="51" t="s">
        <v>28</v>
      </c>
      <c r="H520" s="54" t="s">
        <v>56</v>
      </c>
      <c r="I520" s="58">
        <v>100</v>
      </c>
      <c r="J520" s="22" t="s">
        <v>1664</v>
      </c>
      <c r="K520" s="11" t="s">
        <v>32</v>
      </c>
      <c r="L520" s="11" t="s">
        <v>32</v>
      </c>
      <c r="M520" s="11" t="s">
        <v>32</v>
      </c>
      <c r="N520" s="73" t="s">
        <v>32</v>
      </c>
      <c r="O520" s="71" t="s">
        <v>77</v>
      </c>
      <c r="P520" s="79" t="s">
        <v>42</v>
      </c>
      <c r="Q520" s="79" t="s">
        <v>42</v>
      </c>
      <c r="R520" s="79" t="s">
        <v>42</v>
      </c>
      <c r="S520" s="9" t="str">
        <f>HYPERLINK(CONCATENATE("https://www.analog.com/", A520, "/datasheet"))</f>
        <v>https://www.analog.com/RH1814M/datasheet</v>
      </c>
    </row>
    <row r="521" spans="1:19" x14ac:dyDescent="0.25">
      <c r="A521" s="86" t="s">
        <v>1661</v>
      </c>
      <c r="B521" s="86" t="s">
        <v>1662</v>
      </c>
      <c r="C521" s="31" t="s">
        <v>1665</v>
      </c>
      <c r="D521" s="86" t="s">
        <v>53</v>
      </c>
      <c r="E521" s="86" t="s">
        <v>228</v>
      </c>
      <c r="F521" s="59" t="s">
        <v>55</v>
      </c>
      <c r="G521" s="51" t="s">
        <v>28</v>
      </c>
      <c r="H521" s="54" t="s">
        <v>56</v>
      </c>
      <c r="I521" s="58">
        <v>100</v>
      </c>
      <c r="J521" s="22" t="s">
        <v>1664</v>
      </c>
      <c r="K521" s="16" t="s">
        <v>32</v>
      </c>
      <c r="L521" s="16" t="s">
        <v>32</v>
      </c>
      <c r="M521" s="16" t="s">
        <v>32</v>
      </c>
      <c r="N521" s="16" t="s">
        <v>32</v>
      </c>
      <c r="O521" s="71" t="s">
        <v>1504</v>
      </c>
      <c r="P521" s="88" t="s">
        <v>34</v>
      </c>
      <c r="Q521" s="71" t="s">
        <v>35</v>
      </c>
      <c r="R521" s="71" t="s">
        <v>1505</v>
      </c>
      <c r="S521" s="9" t="str">
        <f>HYPERLINK(CONCATENATE("https://www.analog.com/", A521, "/datasheet"))</f>
        <v>https://www.analog.com/RH1814M/datasheet</v>
      </c>
    </row>
    <row r="522" spans="1:19" x14ac:dyDescent="0.25">
      <c r="A522" s="86" t="s">
        <v>1661</v>
      </c>
      <c r="B522" s="86" t="s">
        <v>1662</v>
      </c>
      <c r="C522" s="65" t="s">
        <v>1666</v>
      </c>
      <c r="D522" s="86" t="s">
        <v>53</v>
      </c>
      <c r="E522" s="86" t="s">
        <v>228</v>
      </c>
      <c r="F522" s="10" t="s">
        <v>41</v>
      </c>
      <c r="G522" s="51" t="s">
        <v>28</v>
      </c>
      <c r="H522" s="11" t="s">
        <v>42</v>
      </c>
      <c r="I522" s="16" t="s">
        <v>42</v>
      </c>
      <c r="J522" s="16" t="s">
        <v>42</v>
      </c>
      <c r="K522" s="11" t="s">
        <v>42</v>
      </c>
      <c r="L522" s="11" t="s">
        <v>42</v>
      </c>
      <c r="M522" s="11" t="s">
        <v>42</v>
      </c>
      <c r="N522" s="73" t="s">
        <v>42</v>
      </c>
      <c r="O522" s="71" t="s">
        <v>1504</v>
      </c>
      <c r="P522" s="53" t="s">
        <v>34</v>
      </c>
      <c r="Q522" s="71" t="s">
        <v>35</v>
      </c>
      <c r="R522" s="71" t="s">
        <v>1505</v>
      </c>
      <c r="S522" s="9" t="s">
        <v>1667</v>
      </c>
    </row>
    <row r="523" spans="1:19" x14ac:dyDescent="0.25">
      <c r="A523" s="86" t="s">
        <v>1668</v>
      </c>
      <c r="B523" s="86" t="s">
        <v>1669</v>
      </c>
      <c r="C523" s="31" t="s">
        <v>1670</v>
      </c>
      <c r="D523" s="86" t="s">
        <v>1202</v>
      </c>
      <c r="E523" s="86" t="s">
        <v>1671</v>
      </c>
      <c r="F523" s="10" t="s">
        <v>1672</v>
      </c>
      <c r="G523" s="51" t="s">
        <v>28</v>
      </c>
      <c r="H523" s="11" t="s">
        <v>42</v>
      </c>
      <c r="I523" s="58" t="s">
        <v>30</v>
      </c>
      <c r="J523" s="22" t="s">
        <v>1673</v>
      </c>
      <c r="K523" s="58">
        <v>80</v>
      </c>
      <c r="L523" s="65" t="s">
        <v>542</v>
      </c>
      <c r="M523" s="97">
        <v>1000000000000</v>
      </c>
      <c r="N523" s="22" t="s">
        <v>1674</v>
      </c>
      <c r="O523" s="71" t="s">
        <v>77</v>
      </c>
      <c r="P523" s="79" t="s">
        <v>42</v>
      </c>
      <c r="Q523" s="79" t="s">
        <v>42</v>
      </c>
      <c r="R523" s="79" t="s">
        <v>42</v>
      </c>
      <c r="S523" s="21" t="s">
        <v>1675</v>
      </c>
    </row>
    <row r="524" spans="1:19" x14ac:dyDescent="0.25">
      <c r="A524" s="30" t="s">
        <v>1668</v>
      </c>
      <c r="B524" s="86" t="s">
        <v>1669</v>
      </c>
      <c r="C524" s="31" t="s">
        <v>1676</v>
      </c>
      <c r="D524" s="86" t="s">
        <v>1202</v>
      </c>
      <c r="E524" s="86" t="s">
        <v>1671</v>
      </c>
      <c r="F524" s="59" t="s">
        <v>55</v>
      </c>
      <c r="G524" s="51" t="s">
        <v>28</v>
      </c>
      <c r="H524" s="54" t="s">
        <v>56</v>
      </c>
      <c r="I524" s="58">
        <v>100</v>
      </c>
      <c r="J524" s="22" t="s">
        <v>1673</v>
      </c>
      <c r="K524" s="58">
        <v>80</v>
      </c>
      <c r="L524" s="65" t="s">
        <v>542</v>
      </c>
      <c r="M524" s="97">
        <v>1000000000001</v>
      </c>
      <c r="N524" s="22" t="s">
        <v>1674</v>
      </c>
      <c r="O524" s="71" t="s">
        <v>1677</v>
      </c>
      <c r="P524" s="53" t="s">
        <v>34</v>
      </c>
      <c r="Q524" s="71" t="s">
        <v>35</v>
      </c>
      <c r="R524" s="71" t="s">
        <v>1678</v>
      </c>
      <c r="S524" s="21" t="s">
        <v>1679</v>
      </c>
    </row>
    <row r="525" spans="1:19" x14ac:dyDescent="0.25">
      <c r="A525" s="86" t="s">
        <v>1668</v>
      </c>
      <c r="B525" s="86" t="s">
        <v>1669</v>
      </c>
      <c r="C525" s="31" t="s">
        <v>1680</v>
      </c>
      <c r="D525" s="86" t="s">
        <v>1202</v>
      </c>
      <c r="E525" s="86" t="s">
        <v>1671</v>
      </c>
      <c r="F525" s="10" t="s">
        <v>41</v>
      </c>
      <c r="G525" s="54" t="s">
        <v>28</v>
      </c>
      <c r="H525" s="11" t="s">
        <v>42</v>
      </c>
      <c r="I525" s="16" t="s">
        <v>42</v>
      </c>
      <c r="J525" s="16" t="s">
        <v>42</v>
      </c>
      <c r="K525" s="16" t="s">
        <v>42</v>
      </c>
      <c r="L525" s="16" t="s">
        <v>42</v>
      </c>
      <c r="M525" s="16" t="s">
        <v>42</v>
      </c>
      <c r="N525" s="16" t="s">
        <v>42</v>
      </c>
      <c r="O525" s="71" t="s">
        <v>1677</v>
      </c>
      <c r="P525" s="53" t="s">
        <v>34</v>
      </c>
      <c r="Q525" s="71" t="s">
        <v>35</v>
      </c>
      <c r="R525" s="71" t="s">
        <v>1678</v>
      </c>
      <c r="S525" s="21" t="s">
        <v>1679</v>
      </c>
    </row>
    <row r="526" spans="1:19" x14ac:dyDescent="0.25">
      <c r="A526" s="86" t="s">
        <v>1681</v>
      </c>
      <c r="B526" s="86" t="s">
        <v>1682</v>
      </c>
      <c r="C526" s="31" t="s">
        <v>1683</v>
      </c>
      <c r="D526" s="86" t="s">
        <v>1202</v>
      </c>
      <c r="E526" s="86" t="s">
        <v>1582</v>
      </c>
      <c r="F526" s="59" t="s">
        <v>76</v>
      </c>
      <c r="G526" s="54" t="s">
        <v>28</v>
      </c>
      <c r="H526" s="54" t="s">
        <v>56</v>
      </c>
      <c r="I526" s="27">
        <v>100</v>
      </c>
      <c r="J526" s="15" t="s">
        <v>1684</v>
      </c>
      <c r="K526" s="58">
        <v>83.2</v>
      </c>
      <c r="L526" s="20" t="s">
        <v>1685</v>
      </c>
      <c r="M526" s="11" t="s">
        <v>32</v>
      </c>
      <c r="N526" s="73" t="s">
        <v>32</v>
      </c>
      <c r="O526" s="71" t="s">
        <v>77</v>
      </c>
      <c r="P526" s="79" t="s">
        <v>42</v>
      </c>
      <c r="Q526" s="79" t="s">
        <v>42</v>
      </c>
      <c r="R526" s="79" t="s">
        <v>42</v>
      </c>
      <c r="S526" s="9" t="str">
        <f t="shared" ref="S526:S531" si="11">HYPERLINK(CONCATENATE("https://www.analog.com/", A526, "/datasheet"))</f>
        <v>https://www.analog.com/RH1965/datasheet</v>
      </c>
    </row>
    <row r="527" spans="1:19" x14ac:dyDescent="0.25">
      <c r="A527" s="86" t="s">
        <v>1686</v>
      </c>
      <c r="B527" s="86" t="s">
        <v>1687</v>
      </c>
      <c r="C527" s="31" t="s">
        <v>1688</v>
      </c>
      <c r="D527" s="86" t="s">
        <v>53</v>
      </c>
      <c r="E527" s="86" t="s">
        <v>475</v>
      </c>
      <c r="F527" s="59" t="s">
        <v>55</v>
      </c>
      <c r="G527" s="54" t="s">
        <v>28</v>
      </c>
      <c r="H527" s="54" t="s">
        <v>56</v>
      </c>
      <c r="I527" s="27">
        <v>100</v>
      </c>
      <c r="J527" s="15" t="s">
        <v>1689</v>
      </c>
      <c r="K527" s="11" t="s">
        <v>32</v>
      </c>
      <c r="L527" s="11" t="s">
        <v>32</v>
      </c>
      <c r="M527" s="11" t="s">
        <v>32</v>
      </c>
      <c r="N527" s="73" t="s">
        <v>32</v>
      </c>
      <c r="O527" s="71" t="s">
        <v>1469</v>
      </c>
      <c r="P527" s="88" t="s">
        <v>59</v>
      </c>
      <c r="Q527" s="71" t="s">
        <v>35</v>
      </c>
      <c r="R527" s="71" t="s">
        <v>1470</v>
      </c>
      <c r="S527" s="9" t="str">
        <f t="shared" si="11"/>
        <v>https://www.analog.com/RH27C/datasheet</v>
      </c>
    </row>
    <row r="528" spans="1:19" x14ac:dyDescent="0.25">
      <c r="A528" s="53" t="s">
        <v>1686</v>
      </c>
      <c r="B528" s="86" t="s">
        <v>1687</v>
      </c>
      <c r="C528" s="31" t="s">
        <v>1690</v>
      </c>
      <c r="D528" s="86" t="s">
        <v>53</v>
      </c>
      <c r="E528" s="86" t="s">
        <v>475</v>
      </c>
      <c r="F528" s="59" t="s">
        <v>76</v>
      </c>
      <c r="G528" s="54" t="s">
        <v>28</v>
      </c>
      <c r="H528" s="54" t="s">
        <v>56</v>
      </c>
      <c r="I528" s="27">
        <v>100</v>
      </c>
      <c r="J528" s="22" t="s">
        <v>1689</v>
      </c>
      <c r="K528" s="11" t="s">
        <v>32</v>
      </c>
      <c r="L528" s="11" t="s">
        <v>32</v>
      </c>
      <c r="M528" s="11" t="s">
        <v>32</v>
      </c>
      <c r="N528" s="73" t="s">
        <v>32</v>
      </c>
      <c r="O528" s="71" t="s">
        <v>77</v>
      </c>
      <c r="P528" s="16" t="s">
        <v>42</v>
      </c>
      <c r="Q528" s="79" t="s">
        <v>42</v>
      </c>
      <c r="R528" s="79" t="s">
        <v>42</v>
      </c>
      <c r="S528" s="9" t="str">
        <f t="shared" si="11"/>
        <v>https://www.analog.com/RH27C/datasheet</v>
      </c>
    </row>
    <row r="529" spans="1:19" x14ac:dyDescent="0.25">
      <c r="A529" s="86" t="s">
        <v>1686</v>
      </c>
      <c r="B529" s="86" t="s">
        <v>1687</v>
      </c>
      <c r="C529" s="31" t="s">
        <v>1691</v>
      </c>
      <c r="D529" s="86" t="s">
        <v>53</v>
      </c>
      <c r="E529" s="86" t="s">
        <v>475</v>
      </c>
      <c r="F529" s="59" t="s">
        <v>55</v>
      </c>
      <c r="G529" s="54" t="s">
        <v>28</v>
      </c>
      <c r="H529" s="54" t="s">
        <v>56</v>
      </c>
      <c r="I529" s="27">
        <v>100</v>
      </c>
      <c r="J529" s="22" t="s">
        <v>1689</v>
      </c>
      <c r="K529" s="11" t="s">
        <v>32</v>
      </c>
      <c r="L529" s="11" t="s">
        <v>32</v>
      </c>
      <c r="M529" s="11" t="s">
        <v>32</v>
      </c>
      <c r="N529" s="73" t="s">
        <v>32</v>
      </c>
      <c r="O529" s="71" t="s">
        <v>1469</v>
      </c>
      <c r="P529" s="88" t="s">
        <v>59</v>
      </c>
      <c r="Q529" s="71" t="s">
        <v>35</v>
      </c>
      <c r="R529" s="71" t="s">
        <v>1470</v>
      </c>
      <c r="S529" s="9" t="str">
        <f t="shared" si="11"/>
        <v>https://www.analog.com/RH27C/datasheet</v>
      </c>
    </row>
    <row r="530" spans="1:19" x14ac:dyDescent="0.25">
      <c r="A530" s="53" t="s">
        <v>1686</v>
      </c>
      <c r="B530" s="86" t="s">
        <v>1687</v>
      </c>
      <c r="C530" s="31" t="s">
        <v>1692</v>
      </c>
      <c r="D530" s="86" t="s">
        <v>53</v>
      </c>
      <c r="E530" s="86" t="s">
        <v>475</v>
      </c>
      <c r="F530" s="10" t="s">
        <v>41</v>
      </c>
      <c r="G530" s="51" t="s">
        <v>28</v>
      </c>
      <c r="H530" s="11" t="s">
        <v>42</v>
      </c>
      <c r="I530" s="16" t="s">
        <v>42</v>
      </c>
      <c r="J530" s="16" t="s">
        <v>42</v>
      </c>
      <c r="K530" s="16" t="s">
        <v>42</v>
      </c>
      <c r="L530" s="16" t="s">
        <v>42</v>
      </c>
      <c r="M530" s="16" t="s">
        <v>42</v>
      </c>
      <c r="N530" s="16" t="s">
        <v>42</v>
      </c>
      <c r="O530" s="71" t="s">
        <v>1469</v>
      </c>
      <c r="P530" s="53" t="s">
        <v>59</v>
      </c>
      <c r="Q530" s="71" t="s">
        <v>35</v>
      </c>
      <c r="R530" s="71" t="s">
        <v>1470</v>
      </c>
      <c r="S530" s="9" t="str">
        <f t="shared" si="11"/>
        <v>https://www.analog.com/RH27C/datasheet</v>
      </c>
    </row>
    <row r="531" spans="1:19" x14ac:dyDescent="0.25">
      <c r="A531" s="53" t="s">
        <v>1686</v>
      </c>
      <c r="B531" s="86" t="s">
        <v>1687</v>
      </c>
      <c r="C531" s="31" t="s">
        <v>1693</v>
      </c>
      <c r="D531" s="86" t="s">
        <v>53</v>
      </c>
      <c r="E531" s="86" t="s">
        <v>475</v>
      </c>
      <c r="F531" s="59" t="s">
        <v>55</v>
      </c>
      <c r="G531" s="51" t="s">
        <v>28</v>
      </c>
      <c r="H531" s="54" t="s">
        <v>56</v>
      </c>
      <c r="I531" s="27">
        <v>100</v>
      </c>
      <c r="J531" s="22" t="s">
        <v>1689</v>
      </c>
      <c r="K531" s="11" t="s">
        <v>32</v>
      </c>
      <c r="L531" s="11" t="s">
        <v>32</v>
      </c>
      <c r="M531" s="11" t="s">
        <v>32</v>
      </c>
      <c r="N531" s="73" t="s">
        <v>32</v>
      </c>
      <c r="O531" s="71" t="s">
        <v>1469</v>
      </c>
      <c r="P531" s="88" t="s">
        <v>59</v>
      </c>
      <c r="Q531" s="71" t="s">
        <v>35</v>
      </c>
      <c r="R531" s="71" t="s">
        <v>1470</v>
      </c>
      <c r="S531" s="9" t="str">
        <f t="shared" si="11"/>
        <v>https://www.analog.com/RH27C/datasheet</v>
      </c>
    </row>
    <row r="532" spans="1:19" x14ac:dyDescent="0.25">
      <c r="A532" s="86" t="s">
        <v>1694</v>
      </c>
      <c r="B532" s="86" t="s">
        <v>1695</v>
      </c>
      <c r="C532" s="31" t="s">
        <v>1696</v>
      </c>
      <c r="D532" s="86" t="s">
        <v>1202</v>
      </c>
      <c r="E532" s="86" t="s">
        <v>1582</v>
      </c>
      <c r="F532" s="59" t="s">
        <v>76</v>
      </c>
      <c r="G532" s="51" t="s">
        <v>28</v>
      </c>
      <c r="H532" s="54" t="s">
        <v>56</v>
      </c>
      <c r="I532" s="27">
        <v>100</v>
      </c>
      <c r="J532" s="22" t="s">
        <v>1697</v>
      </c>
      <c r="K532" s="58">
        <v>110</v>
      </c>
      <c r="L532" s="19" t="s">
        <v>1698</v>
      </c>
      <c r="M532" s="97">
        <v>1000000000000</v>
      </c>
      <c r="N532" s="19" t="s">
        <v>1699</v>
      </c>
      <c r="O532" s="71" t="s">
        <v>77</v>
      </c>
      <c r="P532" s="79" t="s">
        <v>42</v>
      </c>
      <c r="Q532" s="79" t="s">
        <v>42</v>
      </c>
      <c r="R532" s="79" t="s">
        <v>42</v>
      </c>
      <c r="S532" s="9" t="s">
        <v>1700</v>
      </c>
    </row>
    <row r="533" spans="1:19" x14ac:dyDescent="0.25">
      <c r="A533" s="86" t="s">
        <v>1701</v>
      </c>
      <c r="B533" s="86" t="s">
        <v>1702</v>
      </c>
      <c r="C533" s="31" t="s">
        <v>1703</v>
      </c>
      <c r="D533" s="86" t="s">
        <v>1202</v>
      </c>
      <c r="E533" s="86" t="s">
        <v>1582</v>
      </c>
      <c r="F533" s="10" t="s">
        <v>1672</v>
      </c>
      <c r="G533" s="54" t="s">
        <v>28</v>
      </c>
      <c r="H533" s="11" t="s">
        <v>42</v>
      </c>
      <c r="I533" s="58" t="s">
        <v>30</v>
      </c>
      <c r="J533" s="22" t="s">
        <v>1704</v>
      </c>
      <c r="K533" s="58">
        <v>117</v>
      </c>
      <c r="L533" s="19" t="s">
        <v>1705</v>
      </c>
      <c r="M533" s="11" t="s">
        <v>32</v>
      </c>
      <c r="N533" s="73" t="s">
        <v>32</v>
      </c>
      <c r="O533" s="71" t="s">
        <v>77</v>
      </c>
      <c r="P533" s="16" t="s">
        <v>42</v>
      </c>
      <c r="Q533" s="79" t="s">
        <v>42</v>
      </c>
      <c r="R533" s="79" t="s">
        <v>42</v>
      </c>
      <c r="S533" s="9" t="s">
        <v>1706</v>
      </c>
    </row>
    <row r="534" spans="1:19" x14ac:dyDescent="0.25">
      <c r="A534" s="86" t="s">
        <v>1701</v>
      </c>
      <c r="B534" s="86" t="s">
        <v>1702</v>
      </c>
      <c r="C534" s="31" t="s">
        <v>1707</v>
      </c>
      <c r="D534" s="86" t="s">
        <v>1202</v>
      </c>
      <c r="E534" s="86" t="s">
        <v>1582</v>
      </c>
      <c r="F534" s="59" t="s">
        <v>76</v>
      </c>
      <c r="G534" s="54" t="s">
        <v>28</v>
      </c>
      <c r="H534" s="54" t="s">
        <v>56</v>
      </c>
      <c r="I534" s="27">
        <v>100</v>
      </c>
      <c r="J534" s="22" t="s">
        <v>1704</v>
      </c>
      <c r="K534" s="58">
        <v>117</v>
      </c>
      <c r="L534" s="19" t="s">
        <v>1705</v>
      </c>
      <c r="M534" s="16" t="s">
        <v>32</v>
      </c>
      <c r="N534" s="16" t="s">
        <v>32</v>
      </c>
      <c r="O534" s="71" t="s">
        <v>77</v>
      </c>
      <c r="P534" s="16" t="s">
        <v>42</v>
      </c>
      <c r="Q534" s="79" t="s">
        <v>42</v>
      </c>
      <c r="R534" s="79" t="s">
        <v>42</v>
      </c>
      <c r="S534" s="9" t="s">
        <v>1708</v>
      </c>
    </row>
    <row r="535" spans="1:19" x14ac:dyDescent="0.25">
      <c r="A535" s="86" t="s">
        <v>1701</v>
      </c>
      <c r="B535" s="86" t="s">
        <v>1702</v>
      </c>
      <c r="C535" s="31" t="s">
        <v>1709</v>
      </c>
      <c r="D535" s="86" t="s">
        <v>1202</v>
      </c>
      <c r="E535" s="86" t="s">
        <v>1582</v>
      </c>
      <c r="F535" s="59" t="s">
        <v>55</v>
      </c>
      <c r="G535" s="54" t="s">
        <v>28</v>
      </c>
      <c r="H535" s="54" t="s">
        <v>56</v>
      </c>
      <c r="I535" s="27">
        <v>100</v>
      </c>
      <c r="J535" s="22" t="s">
        <v>1704</v>
      </c>
      <c r="K535" s="58">
        <v>117</v>
      </c>
      <c r="L535" s="19" t="s">
        <v>1705</v>
      </c>
      <c r="M535" s="11" t="s">
        <v>32</v>
      </c>
      <c r="N535" s="73" t="s">
        <v>32</v>
      </c>
      <c r="O535" s="71" t="s">
        <v>1710</v>
      </c>
      <c r="P535" s="88" t="s">
        <v>59</v>
      </c>
      <c r="Q535" s="71" t="s">
        <v>35</v>
      </c>
      <c r="R535" s="71" t="s">
        <v>1678</v>
      </c>
      <c r="S535" s="9" t="s">
        <v>1711</v>
      </c>
    </row>
    <row r="536" spans="1:19" x14ac:dyDescent="0.25">
      <c r="A536" s="86" t="s">
        <v>1701</v>
      </c>
      <c r="B536" s="86" t="s">
        <v>1702</v>
      </c>
      <c r="C536" s="31" t="s">
        <v>1712</v>
      </c>
      <c r="D536" s="86" t="s">
        <v>1202</v>
      </c>
      <c r="E536" s="86" t="s">
        <v>1582</v>
      </c>
      <c r="F536" s="10" t="s">
        <v>41</v>
      </c>
      <c r="G536" s="54" t="s">
        <v>28</v>
      </c>
      <c r="H536" s="11" t="s">
        <v>42</v>
      </c>
      <c r="I536" s="16" t="s">
        <v>42</v>
      </c>
      <c r="J536" s="16" t="s">
        <v>42</v>
      </c>
      <c r="K536" s="16" t="s">
        <v>42</v>
      </c>
      <c r="L536" s="16" t="s">
        <v>42</v>
      </c>
      <c r="M536" s="11" t="s">
        <v>42</v>
      </c>
      <c r="N536" s="73" t="s">
        <v>42</v>
      </c>
      <c r="O536" s="71" t="s">
        <v>1710</v>
      </c>
      <c r="P536" s="53" t="s">
        <v>59</v>
      </c>
      <c r="Q536" s="71" t="s">
        <v>35</v>
      </c>
      <c r="R536" s="71" t="s">
        <v>1678</v>
      </c>
      <c r="S536" s="42" t="s">
        <v>1711</v>
      </c>
    </row>
    <row r="537" spans="1:19" x14ac:dyDescent="0.25">
      <c r="A537" s="86" t="s">
        <v>1713</v>
      </c>
      <c r="B537" s="86" t="s">
        <v>1714</v>
      </c>
      <c r="C537" s="31" t="s">
        <v>1715</v>
      </c>
      <c r="D537" s="86" t="s">
        <v>1202</v>
      </c>
      <c r="E537" s="86" t="s">
        <v>1716</v>
      </c>
      <c r="F537" s="59" t="s">
        <v>76</v>
      </c>
      <c r="G537" s="54" t="s">
        <v>28</v>
      </c>
      <c r="H537" s="54" t="s">
        <v>56</v>
      </c>
      <c r="I537" s="27">
        <v>100</v>
      </c>
      <c r="J537" s="15" t="s">
        <v>1717</v>
      </c>
      <c r="K537" s="66">
        <v>117.6</v>
      </c>
      <c r="L537" s="20" t="s">
        <v>1718</v>
      </c>
      <c r="M537" s="98">
        <v>1000000000000</v>
      </c>
      <c r="N537" s="53" t="s">
        <v>1719</v>
      </c>
      <c r="O537" s="71" t="s">
        <v>77</v>
      </c>
      <c r="P537" s="79" t="s">
        <v>42</v>
      </c>
      <c r="Q537" s="79" t="s">
        <v>42</v>
      </c>
      <c r="R537" s="79" t="s">
        <v>42</v>
      </c>
      <c r="S537" s="9" t="str">
        <f t="shared" ref="S537:S542" si="12">HYPERLINK(CONCATENATE("https://www.analog.com/", A537, "/datasheet"))</f>
        <v>https://www.analog.com/RH3845MK/datasheet</v>
      </c>
    </row>
    <row r="538" spans="1:19" x14ac:dyDescent="0.25">
      <c r="A538" s="86" t="s">
        <v>1713</v>
      </c>
      <c r="B538" s="86" t="s">
        <v>1714</v>
      </c>
      <c r="C538" s="31" t="s">
        <v>1720</v>
      </c>
      <c r="D538" s="86" t="s">
        <v>1202</v>
      </c>
      <c r="E538" s="86" t="s">
        <v>1716</v>
      </c>
      <c r="F538" s="59" t="s">
        <v>55</v>
      </c>
      <c r="G538" s="54" t="s">
        <v>28</v>
      </c>
      <c r="H538" s="54" t="s">
        <v>56</v>
      </c>
      <c r="I538" s="27">
        <v>100</v>
      </c>
      <c r="J538" s="15" t="s">
        <v>1717</v>
      </c>
      <c r="K538" s="66">
        <v>117.6</v>
      </c>
      <c r="L538" s="20" t="s">
        <v>1718</v>
      </c>
      <c r="M538" s="98">
        <v>1000000000000</v>
      </c>
      <c r="N538" s="53" t="s">
        <v>1719</v>
      </c>
      <c r="O538" s="71" t="s">
        <v>297</v>
      </c>
      <c r="P538" s="53" t="s">
        <v>298</v>
      </c>
      <c r="Q538" s="71" t="s">
        <v>35</v>
      </c>
      <c r="R538" s="71" t="s">
        <v>1174</v>
      </c>
      <c r="S538" s="9" t="str">
        <f t="shared" si="12"/>
        <v>https://www.analog.com/RH3845MK/datasheet</v>
      </c>
    </row>
    <row r="539" spans="1:19" x14ac:dyDescent="0.25">
      <c r="A539" s="86" t="s">
        <v>1713</v>
      </c>
      <c r="B539" s="86" t="s">
        <v>1714</v>
      </c>
      <c r="C539" s="65" t="s">
        <v>1721</v>
      </c>
      <c r="D539" s="86" t="s">
        <v>1202</v>
      </c>
      <c r="E539" s="86" t="s">
        <v>1716</v>
      </c>
      <c r="F539" s="10" t="s">
        <v>41</v>
      </c>
      <c r="G539" s="51" t="s">
        <v>28</v>
      </c>
      <c r="H539" s="11" t="s">
        <v>42</v>
      </c>
      <c r="I539" s="16" t="s">
        <v>42</v>
      </c>
      <c r="J539" s="16" t="s">
        <v>42</v>
      </c>
      <c r="K539" s="16" t="s">
        <v>42</v>
      </c>
      <c r="L539" s="16" t="s">
        <v>42</v>
      </c>
      <c r="M539" s="16" t="s">
        <v>42</v>
      </c>
      <c r="N539" s="16" t="s">
        <v>42</v>
      </c>
      <c r="O539" s="71" t="s">
        <v>297</v>
      </c>
      <c r="P539" s="53" t="s">
        <v>298</v>
      </c>
      <c r="Q539" s="71" t="s">
        <v>35</v>
      </c>
      <c r="R539" s="71" t="s">
        <v>1174</v>
      </c>
      <c r="S539" s="9" t="str">
        <f t="shared" si="12"/>
        <v>https://www.analog.com/RH3845MK/datasheet</v>
      </c>
    </row>
    <row r="540" spans="1:19" x14ac:dyDescent="0.25">
      <c r="A540" s="86" t="s">
        <v>1713</v>
      </c>
      <c r="B540" s="86" t="s">
        <v>1714</v>
      </c>
      <c r="C540" s="31" t="s">
        <v>1722</v>
      </c>
      <c r="D540" s="86" t="s">
        <v>1202</v>
      </c>
      <c r="E540" s="86" t="s">
        <v>1716</v>
      </c>
      <c r="F540" s="59" t="s">
        <v>55</v>
      </c>
      <c r="G540" s="51" t="s">
        <v>28</v>
      </c>
      <c r="H540" s="54" t="s">
        <v>56</v>
      </c>
      <c r="I540" s="27">
        <v>100</v>
      </c>
      <c r="J540" s="15" t="s">
        <v>1717</v>
      </c>
      <c r="K540" s="66">
        <v>117.6</v>
      </c>
      <c r="L540" s="20" t="s">
        <v>1718</v>
      </c>
      <c r="M540" s="98">
        <v>1000000000000</v>
      </c>
      <c r="N540" s="53" t="s">
        <v>1719</v>
      </c>
      <c r="O540" s="71" t="s">
        <v>297</v>
      </c>
      <c r="P540" s="88" t="s">
        <v>298</v>
      </c>
      <c r="Q540" s="71" t="s">
        <v>35</v>
      </c>
      <c r="R540" s="71" t="s">
        <v>1174</v>
      </c>
      <c r="S540" s="9" t="str">
        <f t="shared" si="12"/>
        <v>https://www.analog.com/RH3845MK/datasheet</v>
      </c>
    </row>
    <row r="541" spans="1:19" x14ac:dyDescent="0.25">
      <c r="A541" s="86" t="s">
        <v>1713</v>
      </c>
      <c r="B541" s="86" t="s">
        <v>1714</v>
      </c>
      <c r="C541" s="31" t="s">
        <v>1723</v>
      </c>
      <c r="D541" s="86" t="s">
        <v>1202</v>
      </c>
      <c r="E541" s="86" t="s">
        <v>1716</v>
      </c>
      <c r="F541" s="10" t="s">
        <v>41</v>
      </c>
      <c r="G541" s="51" t="s">
        <v>28</v>
      </c>
      <c r="H541" s="11" t="s">
        <v>42</v>
      </c>
      <c r="I541" s="16" t="s">
        <v>42</v>
      </c>
      <c r="J541" s="16" t="s">
        <v>42</v>
      </c>
      <c r="K541" s="16" t="s">
        <v>42</v>
      </c>
      <c r="L541" s="16" t="s">
        <v>42</v>
      </c>
      <c r="M541" s="16" t="s">
        <v>42</v>
      </c>
      <c r="N541" s="16" t="s">
        <v>42</v>
      </c>
      <c r="O541" s="71" t="s">
        <v>297</v>
      </c>
      <c r="P541" s="88" t="s">
        <v>298</v>
      </c>
      <c r="Q541" s="71" t="s">
        <v>35</v>
      </c>
      <c r="R541" s="71" t="s">
        <v>1174</v>
      </c>
      <c r="S541" s="9" t="str">
        <f t="shared" si="12"/>
        <v>https://www.analog.com/RH3845MK/datasheet</v>
      </c>
    </row>
    <row r="542" spans="1:19" x14ac:dyDescent="0.25">
      <c r="A542" s="86" t="s">
        <v>1713</v>
      </c>
      <c r="B542" s="86" t="s">
        <v>1714</v>
      </c>
      <c r="C542" s="31" t="s">
        <v>1724</v>
      </c>
      <c r="D542" s="86" t="s">
        <v>1202</v>
      </c>
      <c r="E542" s="86" t="s">
        <v>1716</v>
      </c>
      <c r="F542" s="59" t="s">
        <v>76</v>
      </c>
      <c r="G542" s="51" t="s">
        <v>28</v>
      </c>
      <c r="H542" s="54" t="s">
        <v>56</v>
      </c>
      <c r="I542" s="27">
        <v>100</v>
      </c>
      <c r="J542" s="15" t="s">
        <v>1717</v>
      </c>
      <c r="K542" s="66">
        <v>117.6</v>
      </c>
      <c r="L542" s="20" t="s">
        <v>1718</v>
      </c>
      <c r="M542" s="98">
        <v>1000000000000</v>
      </c>
      <c r="N542" s="53" t="s">
        <v>1719</v>
      </c>
      <c r="O542" s="71" t="s">
        <v>77</v>
      </c>
      <c r="P542" s="79" t="s">
        <v>42</v>
      </c>
      <c r="Q542" s="79" t="s">
        <v>42</v>
      </c>
      <c r="R542" s="79" t="s">
        <v>42</v>
      </c>
      <c r="S542" s="9" t="str">
        <f t="shared" si="12"/>
        <v>https://www.analog.com/RH3845MK/datasheet</v>
      </c>
    </row>
    <row r="543" spans="1:19" x14ac:dyDescent="0.25">
      <c r="A543" s="86" t="s">
        <v>1725</v>
      </c>
      <c r="B543" s="86" t="s">
        <v>1726</v>
      </c>
      <c r="C543" s="31" t="s">
        <v>1727</v>
      </c>
      <c r="D543" s="86" t="s">
        <v>293</v>
      </c>
      <c r="E543" s="86" t="s">
        <v>1728</v>
      </c>
      <c r="F543" s="59" t="s">
        <v>76</v>
      </c>
      <c r="G543" s="54" t="s">
        <v>47</v>
      </c>
      <c r="H543" s="54" t="s">
        <v>56</v>
      </c>
      <c r="I543" s="58">
        <v>100</v>
      </c>
      <c r="J543" s="22" t="s">
        <v>1729</v>
      </c>
      <c r="K543" s="58">
        <v>80</v>
      </c>
      <c r="L543" s="17" t="s">
        <v>1730</v>
      </c>
      <c r="M543" s="11" t="s">
        <v>32</v>
      </c>
      <c r="N543" s="73" t="s">
        <v>32</v>
      </c>
      <c r="O543" s="71" t="s">
        <v>77</v>
      </c>
      <c r="P543" s="16" t="s">
        <v>42</v>
      </c>
      <c r="Q543" s="79" t="s">
        <v>42</v>
      </c>
      <c r="R543" s="79" t="s">
        <v>42</v>
      </c>
      <c r="S543" s="9" t="s">
        <v>1731</v>
      </c>
    </row>
    <row r="544" spans="1:19" x14ac:dyDescent="0.25">
      <c r="A544" s="86" t="s">
        <v>1725</v>
      </c>
      <c r="B544" s="86" t="s">
        <v>1726</v>
      </c>
      <c r="C544" s="31" t="s">
        <v>1732</v>
      </c>
      <c r="D544" s="86" t="s">
        <v>293</v>
      </c>
      <c r="E544" s="86" t="s">
        <v>1728</v>
      </c>
      <c r="F544" s="61" t="s">
        <v>386</v>
      </c>
      <c r="G544" s="54" t="s">
        <v>47</v>
      </c>
      <c r="H544" s="54" t="s">
        <v>56</v>
      </c>
      <c r="I544" s="66">
        <v>100</v>
      </c>
      <c r="J544" s="22" t="s">
        <v>1729</v>
      </c>
      <c r="K544" s="66">
        <v>80</v>
      </c>
      <c r="L544" s="17" t="s">
        <v>1730</v>
      </c>
      <c r="M544" s="11" t="s">
        <v>32</v>
      </c>
      <c r="N544" s="73" t="s">
        <v>32</v>
      </c>
      <c r="O544" s="71" t="s">
        <v>1733</v>
      </c>
      <c r="P544" s="53" t="s">
        <v>424</v>
      </c>
      <c r="Q544" s="71" t="s">
        <v>425</v>
      </c>
      <c r="R544" s="99" t="s">
        <v>1734</v>
      </c>
      <c r="S544" s="9" t="str">
        <f t="shared" ref="S544:S552" si="13">HYPERLINK(CONCATENATE("https://www.analog.com/", A544, "/datasheet"))</f>
        <v>https://www.analog.com/RH5596S/datasheet</v>
      </c>
    </row>
    <row r="545" spans="1:19" x14ac:dyDescent="0.25">
      <c r="A545" s="53" t="s">
        <v>1725</v>
      </c>
      <c r="B545" s="86" t="s">
        <v>1726</v>
      </c>
      <c r="C545" s="31" t="s">
        <v>1735</v>
      </c>
      <c r="D545" s="86" t="s">
        <v>293</v>
      </c>
      <c r="E545" s="86" t="s">
        <v>1728</v>
      </c>
      <c r="F545" s="59" t="s">
        <v>421</v>
      </c>
      <c r="G545" s="54" t="s">
        <v>47</v>
      </c>
      <c r="H545" s="54" t="s">
        <v>56</v>
      </c>
      <c r="I545" s="57">
        <v>30</v>
      </c>
      <c r="J545" s="22" t="s">
        <v>1729</v>
      </c>
      <c r="K545" s="57">
        <v>80</v>
      </c>
      <c r="L545" s="17" t="s">
        <v>1730</v>
      </c>
      <c r="M545" s="11" t="s">
        <v>32</v>
      </c>
      <c r="N545" s="73" t="s">
        <v>32</v>
      </c>
      <c r="O545" s="71" t="s">
        <v>1733</v>
      </c>
      <c r="P545" s="53" t="s">
        <v>424</v>
      </c>
      <c r="Q545" s="71" t="s">
        <v>425</v>
      </c>
      <c r="R545" s="99" t="s">
        <v>1734</v>
      </c>
      <c r="S545" s="9" t="str">
        <f t="shared" si="13"/>
        <v>https://www.analog.com/RH5596S/datasheet</v>
      </c>
    </row>
    <row r="546" spans="1:19" x14ac:dyDescent="0.25">
      <c r="A546" s="30" t="s">
        <v>1736</v>
      </c>
      <c r="B546" s="86" t="s">
        <v>1737</v>
      </c>
      <c r="C546" s="31" t="s">
        <v>1738</v>
      </c>
      <c r="D546" s="86" t="s">
        <v>53</v>
      </c>
      <c r="E546" s="86" t="s">
        <v>1491</v>
      </c>
      <c r="F546" s="59" t="s">
        <v>55</v>
      </c>
      <c r="G546" s="54" t="s">
        <v>1583</v>
      </c>
      <c r="H546" s="51" t="s">
        <v>56</v>
      </c>
      <c r="I546" s="66">
        <v>100</v>
      </c>
      <c r="J546" s="22" t="s">
        <v>1739</v>
      </c>
      <c r="K546" s="11" t="s">
        <v>32</v>
      </c>
      <c r="L546" s="11" t="s">
        <v>32</v>
      </c>
      <c r="M546" s="11" t="s">
        <v>32</v>
      </c>
      <c r="N546" s="73" t="s">
        <v>32</v>
      </c>
      <c r="O546" s="71" t="s">
        <v>217</v>
      </c>
      <c r="P546" s="88" t="s">
        <v>59</v>
      </c>
      <c r="Q546" s="71" t="s">
        <v>35</v>
      </c>
      <c r="R546" s="71" t="s">
        <v>265</v>
      </c>
      <c r="S546" s="9" t="str">
        <f t="shared" si="13"/>
        <v>https://www.analog.com/RH6016S/datasheet</v>
      </c>
    </row>
    <row r="547" spans="1:19" x14ac:dyDescent="0.25">
      <c r="A547" s="53" t="s">
        <v>1736</v>
      </c>
      <c r="B547" s="86" t="s">
        <v>1737</v>
      </c>
      <c r="C547" s="31" t="s">
        <v>1740</v>
      </c>
      <c r="D547" s="86" t="s">
        <v>53</v>
      </c>
      <c r="E547" s="86" t="s">
        <v>1491</v>
      </c>
      <c r="F547" s="10" t="s">
        <v>41</v>
      </c>
      <c r="G547" s="54" t="s">
        <v>1583</v>
      </c>
      <c r="H547" s="11" t="s">
        <v>42</v>
      </c>
      <c r="I547" s="16" t="s">
        <v>42</v>
      </c>
      <c r="J547" s="16" t="s">
        <v>42</v>
      </c>
      <c r="K547" s="16" t="s">
        <v>42</v>
      </c>
      <c r="L547" s="16" t="s">
        <v>42</v>
      </c>
      <c r="M547" s="16" t="s">
        <v>42</v>
      </c>
      <c r="N547" s="16" t="s">
        <v>42</v>
      </c>
      <c r="O547" s="71" t="s">
        <v>217</v>
      </c>
      <c r="P547" s="88" t="s">
        <v>59</v>
      </c>
      <c r="Q547" s="71" t="s">
        <v>35</v>
      </c>
      <c r="R547" s="71" t="s">
        <v>265</v>
      </c>
      <c r="S547" s="9" t="str">
        <f t="shared" si="13"/>
        <v>https://www.analog.com/RH6016S/datasheet</v>
      </c>
    </row>
    <row r="548" spans="1:19" x14ac:dyDescent="0.25">
      <c r="A548" s="29" t="s">
        <v>1741</v>
      </c>
      <c r="B548" s="86" t="s">
        <v>1742</v>
      </c>
      <c r="C548" s="31" t="s">
        <v>1743</v>
      </c>
      <c r="D548" s="86" t="s">
        <v>53</v>
      </c>
      <c r="E548" s="86" t="s">
        <v>262</v>
      </c>
      <c r="F548" s="10" t="s">
        <v>1672</v>
      </c>
      <c r="G548" s="54" t="s">
        <v>28</v>
      </c>
      <c r="H548" s="16" t="s">
        <v>42</v>
      </c>
      <c r="I548" s="58" t="s">
        <v>70</v>
      </c>
      <c r="J548" s="22" t="s">
        <v>1744</v>
      </c>
      <c r="K548" s="58">
        <v>83.2</v>
      </c>
      <c r="L548" s="20" t="s">
        <v>1745</v>
      </c>
      <c r="M548" s="97">
        <v>1000000000000</v>
      </c>
      <c r="N548" s="53" t="s">
        <v>1719</v>
      </c>
      <c r="O548" s="71" t="s">
        <v>77</v>
      </c>
      <c r="P548" s="79" t="s">
        <v>42</v>
      </c>
      <c r="Q548" s="79" t="s">
        <v>42</v>
      </c>
      <c r="R548" s="79" t="s">
        <v>42</v>
      </c>
      <c r="S548" s="9" t="str">
        <f t="shared" si="13"/>
        <v>https://www.analog.com/RH6105/datasheet</v>
      </c>
    </row>
    <row r="549" spans="1:19" x14ac:dyDescent="0.25">
      <c r="A549" s="30" t="s">
        <v>1741</v>
      </c>
      <c r="B549" s="86" t="s">
        <v>1742</v>
      </c>
      <c r="C549" s="31" t="s">
        <v>1746</v>
      </c>
      <c r="D549" s="86" t="s">
        <v>53</v>
      </c>
      <c r="E549" s="86" t="s">
        <v>262</v>
      </c>
      <c r="F549" s="59" t="s">
        <v>55</v>
      </c>
      <c r="G549" s="54" t="s">
        <v>28</v>
      </c>
      <c r="H549" s="54" t="s">
        <v>56</v>
      </c>
      <c r="I549" s="70">
        <v>50</v>
      </c>
      <c r="J549" s="15" t="s">
        <v>1747</v>
      </c>
      <c r="K549" s="70">
        <v>83.2</v>
      </c>
      <c r="L549" s="20" t="s">
        <v>1745</v>
      </c>
      <c r="M549" s="97">
        <v>1000000000000</v>
      </c>
      <c r="N549" s="53" t="s">
        <v>1719</v>
      </c>
      <c r="O549" s="71" t="s">
        <v>217</v>
      </c>
      <c r="P549" s="88" t="s">
        <v>59</v>
      </c>
      <c r="Q549" s="71" t="s">
        <v>35</v>
      </c>
      <c r="R549" s="71" t="s">
        <v>265</v>
      </c>
      <c r="S549" s="9" t="str">
        <f t="shared" si="13"/>
        <v>https://www.analog.com/RH6105/datasheet</v>
      </c>
    </row>
    <row r="550" spans="1:19" x14ac:dyDescent="0.25">
      <c r="A550" s="86" t="s">
        <v>1741</v>
      </c>
      <c r="B550" s="86" t="s">
        <v>1742</v>
      </c>
      <c r="C550" s="31" t="s">
        <v>1748</v>
      </c>
      <c r="D550" s="86" t="s">
        <v>53</v>
      </c>
      <c r="E550" s="86" t="s">
        <v>262</v>
      </c>
      <c r="F550" s="10" t="s">
        <v>41</v>
      </c>
      <c r="G550" s="54" t="s">
        <v>28</v>
      </c>
      <c r="H550" s="11" t="s">
        <v>42</v>
      </c>
      <c r="I550" s="16" t="s">
        <v>42</v>
      </c>
      <c r="J550" s="16" t="s">
        <v>42</v>
      </c>
      <c r="K550" s="16" t="s">
        <v>42</v>
      </c>
      <c r="L550" s="16" t="s">
        <v>42</v>
      </c>
      <c r="M550" s="16" t="s">
        <v>42</v>
      </c>
      <c r="N550" s="16" t="s">
        <v>42</v>
      </c>
      <c r="O550" s="71" t="s">
        <v>217</v>
      </c>
      <c r="P550" s="88" t="s">
        <v>59</v>
      </c>
      <c r="Q550" s="71" t="s">
        <v>35</v>
      </c>
      <c r="R550" s="71" t="s">
        <v>265</v>
      </c>
      <c r="S550" s="9" t="str">
        <f t="shared" si="13"/>
        <v>https://www.analog.com/RH6105/datasheet</v>
      </c>
    </row>
    <row r="551" spans="1:19" x14ac:dyDescent="0.25">
      <c r="A551" s="86" t="s">
        <v>1749</v>
      </c>
      <c r="B551" s="86" t="s">
        <v>1750</v>
      </c>
      <c r="C551" s="31" t="s">
        <v>1751</v>
      </c>
      <c r="D551" s="86" t="s">
        <v>53</v>
      </c>
      <c r="E551" s="86" t="s">
        <v>1752</v>
      </c>
      <c r="F551" s="59" t="s">
        <v>55</v>
      </c>
      <c r="G551" s="54" t="s">
        <v>28</v>
      </c>
      <c r="H551" s="51" t="s">
        <v>56</v>
      </c>
      <c r="I551" s="27">
        <v>100</v>
      </c>
      <c r="J551" s="22" t="s">
        <v>1753</v>
      </c>
      <c r="K551" s="11" t="s">
        <v>32</v>
      </c>
      <c r="L551" s="11" t="s">
        <v>32</v>
      </c>
      <c r="M551" s="11" t="s">
        <v>32</v>
      </c>
      <c r="N551" s="73" t="s">
        <v>32</v>
      </c>
      <c r="O551" s="71" t="s">
        <v>1469</v>
      </c>
      <c r="P551" s="88" t="s">
        <v>59</v>
      </c>
      <c r="Q551" s="71" t="s">
        <v>35</v>
      </c>
      <c r="R551" s="71" t="s">
        <v>1470</v>
      </c>
      <c r="S551" s="9" t="str">
        <f t="shared" si="13"/>
        <v>https://www.analog.com/RH6200M/datasheet</v>
      </c>
    </row>
    <row r="552" spans="1:19" x14ac:dyDescent="0.25">
      <c r="A552" s="86" t="s">
        <v>1749</v>
      </c>
      <c r="B552" s="86" t="s">
        <v>1750</v>
      </c>
      <c r="C552" s="86" t="s">
        <v>1754</v>
      </c>
      <c r="D552" s="86" t="s">
        <v>53</v>
      </c>
      <c r="E552" s="86" t="s">
        <v>1752</v>
      </c>
      <c r="F552" s="10" t="s">
        <v>41</v>
      </c>
      <c r="G552" s="54" t="s">
        <v>28</v>
      </c>
      <c r="H552" s="11" t="s">
        <v>42</v>
      </c>
      <c r="I552" s="16" t="s">
        <v>42</v>
      </c>
      <c r="J552" s="16" t="s">
        <v>42</v>
      </c>
      <c r="K552" s="16" t="s">
        <v>42</v>
      </c>
      <c r="L552" s="16" t="s">
        <v>42</v>
      </c>
      <c r="M552" s="16" t="s">
        <v>42</v>
      </c>
      <c r="N552" s="16" t="s">
        <v>42</v>
      </c>
      <c r="O552" s="71" t="s">
        <v>1469</v>
      </c>
      <c r="P552" s="88" t="s">
        <v>59</v>
      </c>
      <c r="Q552" s="71" t="s">
        <v>35</v>
      </c>
      <c r="R552" s="71" t="s">
        <v>1470</v>
      </c>
      <c r="S552" s="9" t="str">
        <f t="shared" si="13"/>
        <v>https://www.analog.com/RH6200M/datasheet</v>
      </c>
    </row>
    <row r="553" spans="1:19" x14ac:dyDescent="0.25">
      <c r="A553" s="86" t="s">
        <v>1755</v>
      </c>
      <c r="B553" s="86" t="s">
        <v>1756</v>
      </c>
      <c r="C553" s="86" t="s">
        <v>1757</v>
      </c>
      <c r="D553" s="86" t="s">
        <v>1202</v>
      </c>
      <c r="E553" s="86" t="s">
        <v>1203</v>
      </c>
      <c r="F553" s="61" t="s">
        <v>421</v>
      </c>
      <c r="G553" s="54" t="s">
        <v>47</v>
      </c>
      <c r="H553" s="54" t="s">
        <v>56</v>
      </c>
      <c r="I553" s="66">
        <v>30</v>
      </c>
      <c r="J553" s="66" t="s">
        <v>1036</v>
      </c>
      <c r="K553" s="66">
        <v>47</v>
      </c>
      <c r="L553" s="66" t="s">
        <v>1036</v>
      </c>
      <c r="M553" s="11" t="s">
        <v>32</v>
      </c>
      <c r="N553" s="73" t="s">
        <v>32</v>
      </c>
      <c r="O553" s="71" t="s">
        <v>1758</v>
      </c>
      <c r="P553" s="87" t="s">
        <v>424</v>
      </c>
      <c r="Q553" s="71" t="s">
        <v>43</v>
      </c>
      <c r="R553" s="71" t="s">
        <v>1759</v>
      </c>
      <c r="S553" s="9" t="s">
        <v>1760</v>
      </c>
    </row>
    <row r="554" spans="1:19" x14ac:dyDescent="0.25">
      <c r="A554" s="53" t="s">
        <v>1761</v>
      </c>
      <c r="B554" s="86" t="s">
        <v>1762</v>
      </c>
      <c r="C554" s="31" t="s">
        <v>1763</v>
      </c>
      <c r="D554" s="86" t="s">
        <v>249</v>
      </c>
      <c r="E554" s="86" t="s">
        <v>589</v>
      </c>
      <c r="F554" s="59" t="s">
        <v>27</v>
      </c>
      <c r="G554" s="54" t="s">
        <v>28</v>
      </c>
      <c r="H554" s="51" t="s">
        <v>29</v>
      </c>
      <c r="I554" s="11" t="s">
        <v>32</v>
      </c>
      <c r="J554" s="11" t="s">
        <v>32</v>
      </c>
      <c r="K554" s="11" t="s">
        <v>32</v>
      </c>
      <c r="L554" s="11" t="s">
        <v>32</v>
      </c>
      <c r="M554" s="11" t="s">
        <v>32</v>
      </c>
      <c r="N554" s="73" t="s">
        <v>32</v>
      </c>
      <c r="O554" s="71" t="s">
        <v>63</v>
      </c>
      <c r="P554" s="88" t="s">
        <v>59</v>
      </c>
      <c r="Q554" s="71" t="s">
        <v>35</v>
      </c>
      <c r="R554" s="71" t="s">
        <v>64</v>
      </c>
      <c r="S554" s="9" t="str">
        <f>HYPERLINK(CONCATENATE("https://www.analog.com/", A554, "/datasheet"))</f>
        <v>https://www.analog.com/SW201S/datasheet</v>
      </c>
    </row>
    <row r="555" spans="1:19" x14ac:dyDescent="0.25">
      <c r="A555" s="86"/>
      <c r="B555" s="86"/>
      <c r="C555" s="86"/>
      <c r="D555" s="86"/>
      <c r="E555" s="86"/>
      <c r="F555" s="86"/>
      <c r="G555" s="64"/>
      <c r="K555" s="66"/>
      <c r="L555" s="66"/>
      <c r="M555" s="66"/>
      <c r="N555" s="65"/>
      <c r="O555" s="66"/>
      <c r="P555" s="86"/>
      <c r="Q555" s="86"/>
      <c r="R555" s="86"/>
      <c r="S555" s="86"/>
    </row>
  </sheetData>
  <mergeCells count="1">
    <mergeCell ref="A1:S1"/>
  </mergeCells>
  <phoneticPr fontId="6" type="noConversion"/>
  <conditionalFormatting sqref="G3:I3">
    <cfRule type="expression" dxfId="0" priority="12">
      <formula>G3&lt;&gt;#REF!</formula>
    </cfRule>
  </conditionalFormatting>
  <hyperlinks>
    <hyperlink ref="J10" r:id="rId1" display="AD524S HDR generic.xls (analog.com)" xr:uid="{7D2F520B-6700-4CDC-A672-A6D7D3587455}"/>
    <hyperlink ref="J27:J28" r:id="rId2" display="AD584S HDR generic.xls (analog.com)" xr:uid="{5EBE66AF-11F2-4EEF-9A66-62366CCB0766}"/>
    <hyperlink ref="J35" r:id="rId3" display="AD590_LDR.xlsx (analog.com)" xr:uid="{BA21DC63-B31D-4B9F-97C7-B7795D5A6D1A}"/>
    <hyperlink ref="J36" r:id="rId4" display="AD590S HDR generic.xls (analog.com)" xr:uid="{52B6442F-C756-4147-A4E9-ECD5D727247F}"/>
    <hyperlink ref="J37" r:id="rId5" display="AD590S HDR generic.xls (analog.com)" xr:uid="{2F38E650-2076-4745-87EE-63B4C792BD7E}"/>
    <hyperlink ref="J38" r:id="rId6" display="AD590S HDR generic.xls (analog.com)" xr:uid="{53BE574E-85B1-46CE-A45D-33BABEE6BD89}"/>
    <hyperlink ref="J39" r:id="rId7" display="AD590S HDR generic.xls (analog.com)" xr:uid="{95A52DE6-75C4-495A-9160-660769055F8C}"/>
    <hyperlink ref="J40" r:id="rId8" display="AD590S HDR generic.xls (analog.com)" xr:uid="{8CDBA21F-D8CB-4B0C-B8EE-639D807A5690}"/>
    <hyperlink ref="L54" r:id="rId9" display="Microsoft Word - AD768 SEL Report 11-434 r1p0.doc (analog.com)" xr:uid="{19FA09C2-F911-4164-B5E6-C9D679217CFF}"/>
    <hyperlink ref="J57" r:id="rId10" display="AD8001S HDR generic.xls (analog.com)" xr:uid="{7A300F5B-897D-4314-81DC-8794D52E5CD2}"/>
    <hyperlink ref="J58" r:id="rId11" display="AD8001S HDR generic.xls (analog.com)" xr:uid="{2DB267DA-6005-4427-9337-5AF2F7C09953}"/>
    <hyperlink ref="J60" r:id="rId12" xr:uid="{30B58E0C-A398-4717-98F3-A794BC8D1CEA}"/>
    <hyperlink ref="N60" r:id="rId13" display="ad8041_DD.xlsx (analog.com)" xr:uid="{C6B2F27F-ACE5-45C4-BFC5-D34F3AEF11F4}"/>
    <hyperlink ref="J65" r:id="rId14" display="Copy of AD8138_LDR.xlsx (analog.com)" xr:uid="{EACC6A20-8A4F-4733-9E18-7C5E75CD31E9}"/>
    <hyperlink ref="J68" r:id="rId15" display="AD8182_LDR.xlsx (analog.com)" xr:uid="{1134D384-1426-42AB-9576-19A15A1D587F}"/>
    <hyperlink ref="L68" r:id="rId16" display="Microsoft Word - AD8182 SEL Report 10-083 r1p0.doc (analog.com)" xr:uid="{6ACC867A-674B-4D4D-AEE7-DE9CF31BAC1D}"/>
    <hyperlink ref="J71" r:id="rId17" display="AD8210_LDR_13_0004.xlsx (analog.com)" xr:uid="{DBE00ECF-0689-4055-9924-2D858B8E006B}"/>
    <hyperlink ref="J72" r:id="rId18" display="https://www.analog.com/media/en/radiation-information/radiation-reports/AD8210S_HDR_generic.pdf" xr:uid="{716CCDFA-EA13-4001-8FF7-B43C7F1203B3}"/>
    <hyperlink ref="L71" r:id="rId19" display="Microsoft Word - ARAD 14-0086.140415.R1.2 Test Report for the SEE Testing of the AD8210.2014-05-27C2.docx (analog.com)" xr:uid="{C5FC55B5-E3CD-4A30-812F-A732AE9635E1}"/>
    <hyperlink ref="J74" r:id="rId20" xr:uid="{FDE290B3-5CFA-4FB5-8233-04FAE9BFF002}"/>
    <hyperlink ref="N75" r:id="rId21" display="Displacement Damage Test Report AD8212S (analog.com)" xr:uid="{9D011E92-AFBC-4EF4-8F5E-BB3581F47F53}"/>
    <hyperlink ref="N74" r:id="rId22" display="Displacement Damage Test Report AD8212S (analog.com)" xr:uid="{7DE51F6D-24C1-4AB9-8398-8C9739BC57E1}"/>
    <hyperlink ref="J78" r:id="rId23" xr:uid="{7B230511-DEFD-43C3-852E-AA9996585A5E}"/>
    <hyperlink ref="L77" r:id="rId24" display="Microsoft Word - SEE_430_01.docx (analog.com)" xr:uid="{7B0914B2-B8CC-4F78-9244-F526BE2608CD}"/>
    <hyperlink ref="L78" r:id="rId25" display="Microsoft Word - SEE_430_01.docx (analog.com)" xr:uid="{292A3A85-5FFC-47EF-B9E9-5E4C1DBE6D16}"/>
    <hyperlink ref="L80" r:id="rId26" display="Microsoft Word - AD8306 SEL Report 11-453 r1p0.doc (analog.com)" xr:uid="{71FB329E-970C-467C-A01F-BA0A92A40840}"/>
    <hyperlink ref="J83" r:id="rId27" xr:uid="{610B8F84-435D-456C-8E32-AF8246A11624}"/>
    <hyperlink ref="J84" r:id="rId28" display="ad8346.xlsx (analog.com)" xr:uid="{DA0FDB25-9794-483F-AA1C-CA3095DBECE6}"/>
    <hyperlink ref="L83" r:id="rId29" display="Microsoft Word - AD8346 SEL Report 10-050 r1p1.doc (analog.com)" xr:uid="{7B802628-A0DE-4A6A-AFFC-656CEC240260}"/>
    <hyperlink ref="J86" r:id="rId30" xr:uid="{7AA36A10-79BD-44E4-9D15-4F40477BF30B}"/>
    <hyperlink ref="J87" r:id="rId31" display="https://www.analog.com/media/en/radiation-information/radiation-reports/AD8351S_HDR_generic.pdf" xr:uid="{C21E5BC8-0901-41B2-91C6-B1935403A5D0}"/>
    <hyperlink ref="L86" r:id="rId32" display="Microsoft Word - AD8351 SEL Report 10-051 r1p0.doc (analog.com)" xr:uid="{17DDADA2-5F75-463F-8EB8-5755897D098E}"/>
    <hyperlink ref="J90" r:id="rId33" display="https://www.analog.com/media/en/radiation-information/radiation-reports/AD8367S_LDR_Generic.pdf" xr:uid="{E79C24D2-1544-448A-A041-40D500B47F58}"/>
    <hyperlink ref="J91" r:id="rId34" display="https://www.analog.com/media/en/radiation-information/radiation-reports/AD8367S_HDR_generic.pdf" xr:uid="{B5F4D229-87C8-44B2-8FD6-50F5EB8F9A31}"/>
    <hyperlink ref="J92" r:id="rId35" xr:uid="{4DBA4B3B-D1C3-41FF-950E-E8E1A6C2942F}"/>
    <hyperlink ref="J95" r:id="rId36" display="AD8561_LDR_pre_rad.xlsx (analog.com)" xr:uid="{404D6AC1-7E0B-4BC3-BA0C-37892F8C51C6}"/>
    <hyperlink ref="J96" r:id="rId37" display="AD8561S HDR generic.xls (analog.com)" xr:uid="{A69C9777-0D70-429A-A12E-22D16484004E}"/>
    <hyperlink ref="J97" r:id="rId38" display="AD8561S HDR generic.xls (analog.com)" xr:uid="{2A8C023A-F0D3-4105-8F2A-35C175254629}"/>
    <hyperlink ref="J100" r:id="rId39" xr:uid="{86CD7722-35ED-4B9E-B83D-502D47139472}"/>
    <hyperlink ref="L100" r:id="rId40" display="Microsoft Word - AD8629 SEL Report 11-438 r1p1.doc (analog.com)" xr:uid="{18345964-008E-4DAF-8675-EAEC8B348F23}"/>
    <hyperlink ref="J101" r:id="rId41" display="AD8671S_HDR_generic (analog.com)" xr:uid="{5914EA6F-65EC-4EB1-8DDD-4620425DDFF4}"/>
    <hyperlink ref="L101" r:id="rId42" display="Microsoft Word - AD8671 SEL Report 10-116 r1p1.doc (analog.com)" xr:uid="{239A2260-5CDE-4DDB-91F7-D7ED04FD5CB4}"/>
    <hyperlink ref="J103" r:id="rId43" display="AD9042_LDR.xlsx (analog.com)" xr:uid="{295B9EEA-4E8D-4883-ADA3-968405B8AEA0}"/>
    <hyperlink ref="J110" r:id="rId44" display="AD9246_HDR_16_0019_final_generic.xlsm (analog.com)" xr:uid="{D6A00E5D-3ECD-4369-8762-7FDE30370E7F}"/>
    <hyperlink ref="J113" r:id="rId45" display="AD9254S (Rev. C) (analog.com)" xr:uid="{D6CF2D10-C77F-420A-91E7-FEF7FF6D7E7F}"/>
    <hyperlink ref="L113" r:id="rId46" display="Microsoft Word - 2012-08-21E AD9254 SEL Report 11-630 r1p1.doc (analog.com)" xr:uid="{3FECB56D-1B9E-4D81-9090-C2206B70BBB9}"/>
    <hyperlink ref="J127" r:id="rId47" display="ADA4077_LDR.xlsx (analog.com)" xr:uid="{84DBBD2B-E478-4405-9A9C-1D12F7F0C5C2}"/>
    <hyperlink ref="J128" r:id="rId48" display="ADA4077_HDR_15_0036.xlsm (analog.com)" xr:uid="{59D8C927-9FF3-49E7-980B-F214F13F3C1B}"/>
    <hyperlink ref="J130" r:id="rId49" display="ADA4077-4S_HDR (analog.com)" xr:uid="{C973ACE3-51CC-4AF8-8910-D378077E3577}"/>
    <hyperlink ref="J133" r:id="rId50" xr:uid="{9020DBE1-3664-4C14-96AF-F1B00E61C2A1}"/>
    <hyperlink ref="J132" r:id="rId51" xr:uid="{96BBB08D-77FD-4FC8-B1EC-D74ED99FBCE7}"/>
    <hyperlink ref="J135" r:id="rId52" xr:uid="{DF23534E-F62C-4E9B-985C-F13C4505C60A}"/>
    <hyperlink ref="J136" r:id="rId53" xr:uid="{5623F20A-FCAB-45B9-AA55-40E110890E15}"/>
    <hyperlink ref="J153" r:id="rId54" display="1 wafer ADCLK925_HDR_14_00.xlsm (analog.com)" xr:uid="{5638F65D-8174-4A01-8259-D5CA0101886F}"/>
    <hyperlink ref="J152" r:id="rId55" display="ADCLK925_LDR_15.xlsx (analog.com)" xr:uid="{81841373-3D09-410E-93CF-9F2AC97C15F8}"/>
    <hyperlink ref="J156" r:id="rId56" display="ADF41008_LDR.xlsx (analog.com)" xr:uid="{E031F5F2-5746-4872-AB90-CE5152C2F9D1}"/>
    <hyperlink ref="J155" r:id="rId57" display="ADF4108S RADIATION TEST REPORT (analog.com)" xr:uid="{1A22428B-0086-4DF3-8FB8-94E382EF3977}"/>
    <hyperlink ref="J201" r:id="rId58" display="https://www.analog.com/media/en/radiation-information/radiation-reports/adh519s_hdr_generic.pdf" xr:uid="{8B60879B-EB90-4F96-8FDF-2A9F507C0792}"/>
    <hyperlink ref="J254" r:id="rId59" display="ADH987_HDR-19_0009_generic.xlsx (analog.com)" xr:uid="{87706964-2410-4528-9301-9B9C7C135FCE}"/>
    <hyperlink ref="J262" r:id="rId60" display="https://www.analog.com/media/en/radiation-information/radiation-reports/ADL5501S_HDR_generic.pdf" xr:uid="{6F5CC3F8-611B-4EC0-938A-D1CE28F8C71A}"/>
    <hyperlink ref="J261" r:id="rId61" display="https://www.analog.com/media/en/radiation-information/radiation-reports/ADL5501S_LDR_generic.pdf" xr:uid="{7E5EAAFA-8DC6-489B-89CA-49CDD9F4ABCC}"/>
    <hyperlink ref="L261" r:id="rId62" display="https://www.analog.com/media/en/radiation-information/radiation-reports/ADL5501S_SEE_generic.pdf" xr:uid="{2545BDE7-021A-4B8E-9693-C61703C3125E}"/>
    <hyperlink ref="L262" r:id="rId63" display="https://www.analog.com/media/en/radiation-information/radiation-reports/ADL5501S_SEE_generic.pdf" xr:uid="{44BC89E8-F9CD-4EAE-8897-DBD3A9F05602}"/>
    <hyperlink ref="L264" r:id="rId64" display="https://www.analog.com/media/en/radiation-information/radiation-reports/ADL5513S_SEL_generic.pdf" xr:uid="{149F7E5E-4196-4D7F-918A-87F4C4BD87A0}"/>
    <hyperlink ref="J268" r:id="rId65" display="https://www.analog.com/media/en/radiation-information/radiation-reports/adl6010s_hdr_generic.pdf" xr:uid="{837F0301-29C1-4A79-9D9A-9E9E2D14694F}"/>
    <hyperlink ref="J296" r:id="rId66" display="https://www.analog.com/media/en/radiation-information/radiation-reports/ADuM141ES_HDR_generic.pdf" xr:uid="{3732B0E4-C4C8-4024-B43E-D257CC30155D}"/>
    <hyperlink ref="J298" r:id="rId67" display="https://www.analog.com/media/en/radiation-information/radiation-reports/adum3190s_hdr_generic.pdf" xr:uid="{79C9F787-943B-469A-83D9-2ABABD6A35F7}"/>
    <hyperlink ref="L298" r:id="rId68" display="https://www.analog.com/media/en/radiation-information/radiation-reports/adum3190s_see_generic.pdf" xr:uid="{C7C85CEC-B00D-4CDF-BA3F-1BFDEC942334}"/>
    <hyperlink ref="L296" r:id="rId69" display="https://www.analog.com/media/en/radiation-information/radiation-reports/ADuM141ES_SEL_generic.pdf" xr:uid="{F4F1E40B-4428-4BD3-A393-82D8CA74B1E1}"/>
    <hyperlink ref="N304" r:id="rId70" display="https://www.analog.com/media/en/radiation-information/radiation-reports/dac08_dd.pdf" xr:uid="{4D09A6D1-BA80-4D0F-83CD-24A957E33845}"/>
    <hyperlink ref="J305" r:id="rId71" display="https://www.analog.com/media/en/radiation-information/radiation-reports/DAC08S_HDR_generic.pdf" xr:uid="{EE61F774-7FE4-4537-95ED-211B534D5581}"/>
    <hyperlink ref="J306" r:id="rId72" display="https://www.analog.com/media/en/radiation-information/radiation-reports/DAC08S_HDR_generic.pdf" xr:uid="{0945DB51-B147-4032-9BB2-E60D87B373F2}"/>
    <hyperlink ref="J307" r:id="rId73" display="https://www.analog.com/media/en/radiation-information/radiation-reports/DAC08S_HDR_generic.pdf" xr:uid="{40A96256-6D05-4BE1-8828-A6A536D329BF}"/>
    <hyperlink ref="J308" r:id="rId74" display="https://www.analog.com/media/en/radiation-information/radiation-reports/DAC08S_HDR_generic.pdf" xr:uid="{5CD8E2B0-4F12-4108-BA9E-DFFD677C2B8A}"/>
    <hyperlink ref="J309" r:id="rId75" display="https://www.analog.com/media/en/radiation-information/radiation-reports/DAC08S_HDR_generic.pdf" xr:uid="{F058DA4E-8C39-4AB8-AD3E-E621B6CB37A5}"/>
    <hyperlink ref="J310" r:id="rId76" display="https://www.analog.com/media/en/radiation-information/radiation-reports/DAC08S_HDR_generic.pdf" xr:uid="{025E2EE8-0699-42AF-B908-62B3410915CD}"/>
    <hyperlink ref="J304" r:id="rId77" display="https://www.analog.com/media/en/radiation-information/radiation-reports/DAC08S_LDR_generic.pdf" xr:uid="{0BE4C6AF-FF43-472D-9F31-29F20F8FBE95}"/>
    <hyperlink ref="J300" r:id="rId78" display="https://www.analog.com/media/en/radiation-information/radiation-reports/ADuM7442S_HDR_generic.pdf" xr:uid="{063676A5-A2FC-4628-8142-3E72ACDD3718}"/>
    <hyperlink ref="L300" r:id="rId79" display="https://www.analog.com/media/en/radiation-information/radiation-reports/ADuM7442S_SEE_generic.pdf" xr:uid="{1E474878-73AE-4856-ADD6-6CCFA3023471}"/>
    <hyperlink ref="J321" r:id="rId80" display="https://www.analog.com/media/en/radiation-information/radiation-reports/OP07S_HDR_generic.pdf" xr:uid="{AFF7656C-9A51-4497-803E-58B5BB7A038C}"/>
    <hyperlink ref="J322" r:id="rId81" display="https://www.analog.com/media/en/radiation-information/radiation-reports/OP07S_HDR_generic.pdf" xr:uid="{17521F2F-387E-4463-BF3F-6016338B8175}"/>
    <hyperlink ref="J323" r:id="rId82" display="https://www.analog.com/media/en/radiation-information/radiation-reports/OP07S_HDR_generic.pdf" xr:uid="{FF0F5A6B-6B78-47F3-B551-41AD4495F301}"/>
    <hyperlink ref="N321" r:id="rId83" display="https://www.analog.com/media/en/radiation-information/radiation-reports/op07_dd.pdf" xr:uid="{A8158C54-6CC3-4255-A75E-92DA038CEF5E}"/>
    <hyperlink ref="N322" r:id="rId84" display="https://www.analog.com/media/en/radiation-information/radiation-reports/op07_dd.pdf" xr:uid="{D408F345-2E37-4FCE-AFBC-7E997CCE53DB}"/>
    <hyperlink ref="N323" r:id="rId85" display="https://www.analog.com/media/en/radiation-information/radiation-reports/op07_dd.pdf" xr:uid="{03EE07D1-F412-4650-9AD7-F3B82293F14F}"/>
    <hyperlink ref="J331" r:id="rId86" display="https://www.analog.com/media/en/radiation-information/radiation-reports/OP15S_HDR_generic.pdf" xr:uid="{86BEE9FE-785A-4D1A-B560-322A6408F908}"/>
    <hyperlink ref="J332" r:id="rId87" display="https://www.analog.com/media/en/radiation-information/radiation-reports/OP15S_HDR_generic.pdf" xr:uid="{017F1AE5-8960-41FA-9759-C318109DF661}"/>
    <hyperlink ref="J333" r:id="rId88" display="https://www.analog.com/media/en/radiation-information/radiation-reports/OP15S_HDR_generic.pdf" xr:uid="{8DABFCD7-8D50-4B42-8CCB-29E098F137A4}"/>
    <hyperlink ref="J334" r:id="rId89" display="https://www.analog.com/media/en/radiation-information/radiation-reports/OP16S_HDR_generic.pdf" xr:uid="{90ECFD33-A7A3-4DF3-A0D1-283CCE02240D}"/>
    <hyperlink ref="J337" r:id="rId90" display="https://www.analog.com/media/en/radiation-information/radiation-reports/OP215S_HDR_generic.pdf" xr:uid="{CB828955-F1F1-4ADA-B059-3B4C533E99BA}"/>
    <hyperlink ref="J338" r:id="rId91" display="https://www.analog.com/media/en/radiation-information/radiation-reports/OP215S_HDR_generic.pdf" xr:uid="{30CE6436-FA85-4ADB-B788-7FAC87A0C1D3}"/>
    <hyperlink ref="N337" r:id="rId92" display="https://www.analog.com/media/en/radiation-information/radiation-reports/op215s_dd.pdf" xr:uid="{EDD02014-A5DB-4836-93DA-C55527CF1E75}"/>
    <hyperlink ref="N338" r:id="rId93" display="https://www.analog.com/media/en/radiation-information/radiation-reports/op215s_dd.pdf" xr:uid="{44AA5F56-D0A3-4D3D-852E-BB5AA52649FF}"/>
    <hyperlink ref="J339" r:id="rId94" display="https://www.analog.com/media/en/radiation-information/radiation-reports/OP227S_HDR_generic.pdf" xr:uid="{7C1D216E-841D-4ACC-A369-CC201E884BC0}"/>
    <hyperlink ref="J340" r:id="rId95" display="https://www.analog.com/media/en/radiation-information/radiation-reports/OP227S_HDR_generic.pdf" xr:uid="{C23D5342-1EA8-40A5-BCEF-0E3D4358F2AD}"/>
    <hyperlink ref="J343" r:id="rId96" display="https://www.analog.com/media/en/radiation-information/radiation-reports/OP270S_HDR_generic.pdf" xr:uid="{8804064B-4485-4EF5-AF29-44C7C188BCF5}"/>
    <hyperlink ref="J342" r:id="rId97" display="https://www.analog.com/media/en/radiation-information/radiation-reports/OP270S_LDR_generic.pdf" xr:uid="{A02A78D9-A2F6-46CB-B0DC-10F2D5B299D8}"/>
    <hyperlink ref="N342" r:id="rId98" display="OP270S_DD.xlsx (analog.com)" xr:uid="{CB4DBB4D-5A44-44B4-823F-B6D4E208A4D7}"/>
    <hyperlink ref="N343" r:id="rId99" display="OP270S_DD.xlsx (analog.com)" xr:uid="{5890996E-9219-43C7-8FB5-6C1E64F1B7F9}"/>
    <hyperlink ref="J344" r:id="rId100" display="https://www.analog.com/media/en/radiation-information/radiation-reports/OP270S_HDR_generic.pdf" xr:uid="{7E85FE6F-D52A-4B31-B420-F4811DE1DADC}"/>
    <hyperlink ref="J345" r:id="rId101" display="https://www.analog.com/media/en/radiation-information/radiation-reports/OP270S_HDR_generic.pdf" xr:uid="{D9D3477E-6C6B-42D4-A417-4C6C97DFDE45}"/>
    <hyperlink ref="N345" r:id="rId102" display="https://www.analog.com/media/en/radiation-information/radiation-reports/op270s_dd.pdf" xr:uid="{A6CA0694-29CB-4248-A496-E2D9960ACA09}"/>
    <hyperlink ref="J347" r:id="rId103" display="https://www.analog.com/media/en/radiation-information/radiation-reports/OP27S_HDR_generic.pdf" xr:uid="{D4D98284-7258-46C2-B739-FBBF495CFB56}"/>
    <hyperlink ref="J348" r:id="rId104" display="https://www.analog.com/media/en/radiation-information/radiation-reports/OP27S_HDR_generic.pdf" xr:uid="{06F57D38-6AF7-4FD9-BFE4-2D5CEBEF3A37}"/>
    <hyperlink ref="J349" r:id="rId105" display="https://www.analog.com/media/en/radiation-information/radiation-reports/OP27S_HDR_generic.pdf" xr:uid="{E628A41A-A56B-420B-AA30-86CBAABDAAFA}"/>
    <hyperlink ref="J350" r:id="rId106" display="https://www.analog.com/media/en/radiation-information/radiation-reports/OP27S_HDR_generic.pdf" xr:uid="{7B69C068-3698-4629-BE15-90F93DA6953D}"/>
    <hyperlink ref="J351" r:id="rId107" display="https://www.analog.com/media/en/radiation-information/radiation-reports/OP27S_HDR_generic.pdf" xr:uid="{7FACD672-654C-4810-8F3C-7904C9E502ED}"/>
    <hyperlink ref="J352" r:id="rId108" display="https://www.analog.com/media/en/radiation-information/radiation-reports/OP27S_HDR_generic.pdf" xr:uid="{E1A4DF24-5B4F-4EED-BDBE-6C4CA9222DB1}"/>
    <hyperlink ref="J353" r:id="rId109" display="https://www.analog.com/media/en/radiation-information/radiation-reports/OP27S_HDR_generic.pdf" xr:uid="{CC662643-426F-4D81-864D-173627C9F6E6}"/>
    <hyperlink ref="J354" r:id="rId110" display="https://www.analog.com/media/en/radiation-information/radiation-reports/OP27S_HDR_generic.pdf" xr:uid="{75525897-7377-42A0-A86A-D61062F9E44B}"/>
    <hyperlink ref="J346" r:id="rId111" display="https://www.analog.com/media/en/radiation-information/radiation-reports/OP27S_LDR_generic.pdf" xr:uid="{5E336675-D483-4942-8DDC-986FC89889C0}"/>
    <hyperlink ref="N346" r:id="rId112" display="OP27S_DD.xlsx (analog.com)" xr:uid="{051BEAE0-EA97-497B-B272-9D64A9C2068E}"/>
    <hyperlink ref="N347" r:id="rId113" display="OP27S_DD.xlsx (analog.com)" xr:uid="{F435E449-2E45-49C7-8D58-69AE17BF0278}"/>
    <hyperlink ref="N348" r:id="rId114" display="OP27S_DD.xlsx (analog.com)" xr:uid="{9173544C-A725-4484-8826-8125726C9548}"/>
    <hyperlink ref="N349" r:id="rId115" display="OP27S_DD.xlsx (analog.com)" xr:uid="{ECE0B404-2265-4746-86AF-A06D8CDA91D3}"/>
    <hyperlink ref="N350" r:id="rId116" display="OP27S_DD.xlsx (analog.com)" xr:uid="{7DB58F82-B3C6-414A-A5D1-950F66FDFBC2}"/>
    <hyperlink ref="N351" r:id="rId117" display="OP27S_DD.xlsx (analog.com)" xr:uid="{27D3A219-98C8-42A7-91FF-A7001FBE866E}"/>
    <hyperlink ref="N352" r:id="rId118" display="OP27S_DD.xlsx (analog.com)" xr:uid="{67099FC9-16CC-437A-9C52-0830731F8753}"/>
    <hyperlink ref="N353" r:id="rId119" display="OP27S_DD.xlsx (analog.com)" xr:uid="{C6D0F54F-231B-4EA0-B82E-C6A34D0C85FA}"/>
    <hyperlink ref="N354" r:id="rId120" display="OP27S_DD.xlsx (analog.com)" xr:uid="{65F3AE70-3EB0-478A-80FF-7897EE5E9D84}"/>
    <hyperlink ref="J363" r:id="rId121" xr:uid="{86299E79-1802-4BD4-B333-349AC2EC3BF6}"/>
    <hyperlink ref="J371" r:id="rId122" xr:uid="{AE25E367-1280-4042-9176-BEB045C3B0E7}"/>
    <hyperlink ref="N371" r:id="rId123" display="https://www.analog.com/media/en/radiation-information/radiation-reports/op467_dd_2e12.pdf" xr:uid="{D98FB954-F713-4930-A618-30F4B503C0EB}"/>
    <hyperlink ref="N372" r:id="rId124" display="https://www.analog.com/media/en/radiation-information/radiation-reports/op467_dd_2e12.pdf" xr:uid="{B0C37038-2E02-4D4A-853A-01B7B014419E}"/>
    <hyperlink ref="N376" r:id="rId125" display="https://www.analog.com/media/en/radiation-information/radiation-reports/op470_dd.pdf" xr:uid="{07DFF0F2-B96F-4575-ACDA-336ACD23699E}"/>
    <hyperlink ref="N377" r:id="rId126" display="https://www.analog.com/media/en/radiation-information/radiation-reports/op470_dd.pdf" xr:uid="{FDB513FA-99EA-45DB-8755-D4D54FD93B53}"/>
    <hyperlink ref="N378" r:id="rId127" display="https://www.analog.com/media/en/radiation-information/radiation-reports/op470_dd.pdf" xr:uid="{A3AC3B13-86F3-4CDF-A92B-D6E9D0C74116}"/>
    <hyperlink ref="J377" r:id="rId128" display="https://www.analog.com/media/en/radiation-information/radiation-reports/OP470S_HDR_generic.pdf" xr:uid="{E5D20AE4-60BC-457F-857B-B539CDFE375D}"/>
    <hyperlink ref="J378" r:id="rId129" display="https://www.analog.com/media/en/radiation-information/radiation-reports/OP470S_HDR_generic.pdf" xr:uid="{43517EE1-0ED3-48D5-9DC7-D0D3A04B28C1}"/>
    <hyperlink ref="J376" r:id="rId130" display="https://www.analog.com/media/en/radiation-information/radiation-reports/OP470S_LDR_generic.pdf" xr:uid="{4D6C8196-45D3-44B5-9B5A-22F137B72276}"/>
    <hyperlink ref="N379" r:id="rId131" display="https://www.analog.com/media/en/radiation-information/radiation-reports/op470_dd.pdf" xr:uid="{47B0297E-F045-4F42-A673-421DB40A253E}"/>
    <hyperlink ref="J379" r:id="rId132" display="https://www.analog.com/media/en/radiation-information/radiation-reports/OP470S_HDR_generic.pdf" xr:uid="{88E1EB1F-1260-4E0C-A7DE-EDA98394A668}"/>
    <hyperlink ref="J380" r:id="rId133" display="https://www.analog.com/media/en/radiation-information/radiation-reports/OP471S_LDR_generic.pdf" xr:uid="{532772F7-0381-4FCA-B194-40C09037E133}"/>
    <hyperlink ref="N380" r:id="rId134" display="https://www.analog.com/media/en/radiation-information/radiation-reports/op471_dd.pdf" xr:uid="{E5542B5B-0139-4149-9484-11FADF24C537}"/>
    <hyperlink ref="J381" r:id="rId135" display="https://www.analog.com/media/en/radiation-information/radiation-reports/OP471S_HDR_generic.pdf" xr:uid="{00FFCF75-6ABE-471B-8AB4-3AF105362B4C}"/>
    <hyperlink ref="J387" r:id="rId136" display="https://www.analog.com/media/en/radiation-information/radiation-reports/OP484S_LDR_generic.pdf" xr:uid="{5C87BA78-021E-45AB-A1CC-03568383D37D}"/>
    <hyperlink ref="J388" r:id="rId137" display="https://www.analog.com/media/en/radiation-information/radiation-reports/OP484S_HDR_generic.pdf" xr:uid="{E5A5BEA7-3671-43F6-AC19-020807D93F97}"/>
    <hyperlink ref="J389" r:id="rId138" display="https://www.analog.com/media/en/radiation-information/radiation-reports/OP484S_HDR_generic.pdf" xr:uid="{5E764776-6B6C-4425-9FCD-BD50D01B0AB5}"/>
    <hyperlink ref="N387" r:id="rId139" display="https://www.analog.com/media/en/radiation-information/radiation-reports/op484_dd_2e12.pdf" xr:uid="{155A2479-C9B7-4DE7-96C3-E3C3E65F3A4A}"/>
    <hyperlink ref="N388" r:id="rId140" display="https://www.analog.com/media/en/radiation-information/radiation-reports/op484_dd_2e12.pdf" xr:uid="{420694B0-1211-4427-A2A3-D49B3B5CCD64}"/>
    <hyperlink ref="N389" r:id="rId141" display="https://www.analog.com/media/en/radiation-information/radiation-reports/op484_dd_2e12.pdf" xr:uid="{52A5AFE8-1035-4608-86B6-95CE44465A0E}"/>
    <hyperlink ref="J403" r:id="rId142" display="https://www.analog.com/media/en/radiation-information/radiation-reports/PM139S_HDR_generic.pdf" xr:uid="{D527C50A-4BE3-424A-8B3C-60D54C61A182}"/>
    <hyperlink ref="J404" r:id="rId143" display="https://www.analog.com/media/en/radiation-information/radiation-reports/PM139S_LDR_generic.pdf" xr:uid="{DCDA2E66-C641-4D84-88BA-BA60A6C7A27C}"/>
    <hyperlink ref="J406" r:id="rId144" display="https://www.analog.com/media/en/radiation-information/radiation-reports/PM139S_LDR_generic.pdf" xr:uid="{13BA7D22-10E4-48EF-9879-69D04268EEAF}"/>
    <hyperlink ref="J405" r:id="rId145" display="https://www.analog.com/media/en/radiation-information/radiation-reports/PM139S_LDR_generic.pdf" xr:uid="{888ECBA3-4867-4DB2-B99D-0D2B0EE54135}"/>
    <hyperlink ref="J409" r:id="rId146" display="https://www.analog.com/media/en/radiation-information/radiation-reports/PM155S_HDR_generic.pdf" xr:uid="{5A14AE61-C3E6-4477-90AE-E4516E2BC490}"/>
    <hyperlink ref="J410" r:id="rId147" display="https://www.analog.com/media/en/radiation-information/radiation-reports/PM156S_HDR_generic.pdf" xr:uid="{C646422F-B58E-475B-8CC0-9A24D7F7007E}"/>
    <hyperlink ref="J20" r:id="rId148" display="https://www.analog.com/media/en/radiation-information/radiation-reports/AD574S_HDR_generic.pdf" xr:uid="{AFC6828D-9A07-4A83-A397-3E6A9AB3565D}"/>
    <hyperlink ref="J21" r:id="rId149" display="https://www.analog.com/media/en/radiation-information/radiation-reports/AD574S_HDR_generic.pdf" xr:uid="{3FD90CD0-DBD6-4AD5-A782-28649001033D}"/>
    <hyperlink ref="J22" r:id="rId150" display="https://www.analog.com/media/en/radiation-information/radiation-reports/AD574S_HDR_generic.pdf" xr:uid="{BA549567-7D7E-4183-8FD0-07B99DA18CD2}"/>
    <hyperlink ref="J23" r:id="rId151" display="https://www.analog.com/media/en/radiation-information/radiation-reports/AD574S_HDR_generic.pdf" xr:uid="{9E98D1DE-6CF3-41EB-9CAD-599369717DF1}"/>
    <hyperlink ref="L20" r:id="rId152" display="https://www.analog.com/media/en/radiation-information/radiation-reports/AD574S_SEL_generic.pdf" xr:uid="{B8014983-8353-4DAB-BD28-5D32C8E67421}"/>
    <hyperlink ref="L21" r:id="rId153" display="https://www.analog.com/media/en/radiation-information/radiation-reports/AD574S_SEL_generic.pdf" xr:uid="{0B1537ED-3FAD-4739-AF61-672D6075ABFD}"/>
    <hyperlink ref="L22" r:id="rId154" display="https://www.analog.com/media/en/radiation-information/radiation-reports/AD574S_SEL_generic.pdf" xr:uid="{4132B333-955D-4610-B0E7-E237745AFC65}"/>
    <hyperlink ref="L23" r:id="rId155" display="https://www.analog.com/media/en/radiation-information/radiation-reports/AD574S_SEL_generic.pdf" xr:uid="{FA001155-B159-4CDA-BAB3-79A99808B83E}"/>
    <hyperlink ref="J109" r:id="rId156" display="https://www.analog.com/media/en/radiation-information/radiation-reports/ad9213_hdr.pdf" xr:uid="{66C219C8-D985-4F85-A545-7B386B01276E}"/>
    <hyperlink ref="L109" r:id="rId157" xr:uid="{919D4130-C965-4CE8-AF05-0C76AA173681}"/>
    <hyperlink ref="L138" r:id="rId158" display="https://www.analog.com/media/en/radiation-information/radiation-reports/ADA4096_2S_SEL_Generic.pdf" xr:uid="{FAE217CA-21DD-48C4-AAB0-0E8C0219EF56}"/>
    <hyperlink ref="L139" r:id="rId159" display="https://www.analog.com/media/en/radiation-information/radiation-reports/ADA4096_2S_SEL_Generic.pdf" xr:uid="{68A13C1E-0850-4CDC-9ABA-89C77D41772C}"/>
    <hyperlink ref="J138" r:id="rId160" display="https://www.analog.com/media/en/radiation-information/radiation-reports/ADA4096-2S_LDR_generic.pdf" xr:uid="{C49AAC76-DF47-4F7A-ACE4-A496C1D53131}"/>
    <hyperlink ref="J139" r:id="rId161" display="https://www.analog.com/media/en/radiation-information/radiation-reports/ADA4096-2S_HDR_generic.pdf" xr:uid="{BB1C9B8E-424C-4A16-9BEF-6DF4ED23A5BA}"/>
    <hyperlink ref="J141" r:id="rId162" display="https://www.analog.com/media/en/radiation-information/radiation-reports/ADA4610-2S_LDR_generic.pdf" xr:uid="{A072CD90-C9C5-4C4F-857E-D04E539655AA}"/>
    <hyperlink ref="J142" r:id="rId163" display="https://www.analog.com/media/en/radiation-information/radiation-reports/ADA4610-2S_HDR_generic.pdf" xr:uid="{0813BA5E-508C-47A6-B05C-B9FAC8FB5482}"/>
    <hyperlink ref="J414" r:id="rId164" xr:uid="{25F82DBB-3635-4E85-9B85-921AEAAF74EC}"/>
    <hyperlink ref="J419" r:id="rId165" xr:uid="{BCEF7794-E8C7-4B77-A400-C83E98C66F7E}"/>
    <hyperlink ref="J420" r:id="rId166" xr:uid="{C4A934BA-13BA-4B1F-B7B2-941EA4340131}"/>
    <hyperlink ref="J425" r:id="rId167" display="https://www.analog.com/media/en/radiation-information/radiation-reports/REF05S_LDR_generic.pdf" xr:uid="{7194851B-B7B4-4F8D-889E-70913E63B987}"/>
    <hyperlink ref="J429" r:id="rId168" display="https://www.analog.com/media/en/radiation-information/radiation-reports/REF10S_HDR_generic.pdf" xr:uid="{204605A9-90CF-4CD0-AD81-9ED105D510D1}"/>
    <hyperlink ref="J430" r:id="rId169" display="https://www.analog.com/media/en/radiation-information/radiation-reports/REF10S_HDR_generic.pdf" xr:uid="{7F241805-F089-4D5B-9A07-5D82B86F6DD1}"/>
    <hyperlink ref="J431" r:id="rId170" xr:uid="{AC8D9BD6-AA6C-44A4-A7E6-E1A650915053}"/>
    <hyperlink ref="N431" r:id="rId171" display="https://www.analog.com/media/en/radiation-information/radiation-reports/ref43s_dd_2e12.pdf" xr:uid="{C777DBF5-D7B7-4958-9E21-B27F35256E4D}"/>
    <hyperlink ref="N432" r:id="rId172" display="https://www.analog.com/media/en/radiation-information/radiation-reports/ref43s_dd_2e12.pdf" xr:uid="{EEF44A11-ED53-4C2C-BE07-0A7C8B58B8FA}"/>
    <hyperlink ref="N433" r:id="rId173" display="https://www.analog.com/media/en/radiation-information/radiation-reports/ref43s_dd_2e12.pdf" xr:uid="{01F0E3B9-811B-4082-8878-D49E4A5D4094}"/>
    <hyperlink ref="N437" r:id="rId174" display="https://www.analog.com/media/en/radiation-information/radiation-reports/ref43s_dd_2e12.pdf" xr:uid="{75048B4F-0FBC-4CA1-86B7-16490CBBA856}"/>
    <hyperlink ref="J439" r:id="rId175" display="https://www.analog.com/media/en/radiation-information/radiation-reports/RLAT%20200K%20Report_RH1009MH_Fab%20Lot%20W10737659.1.pdf" xr:uid="{30747C80-DEBA-4952-B7F6-593EFC53E60E}"/>
    <hyperlink ref="L446" r:id="rId176" display="https://www.analog.com/media/en/radiation-information/radiation-reports/SEE_Test_Report_RH1011.pdf" xr:uid="{19BAF09A-A3E1-4C72-AB17-2D1A349D70A5}"/>
    <hyperlink ref="L447" r:id="rId177" display="https://www.analog.com/media/en/radiation-information/radiation-reports/SEE_Test_Report_RH1011.pdf" xr:uid="{983FD77E-158F-41D6-B599-C926697700BF}"/>
    <hyperlink ref="J450" r:id="rId178" display="https://www.analog.com/media/en/radiation-information/radiation-reports/RLAT%20200K%20Report_RH1013MJ8_Fab%20Lot%20W10722836.pdf" xr:uid="{0F302535-33DF-4727-8CB4-E2C7D9A151D5}"/>
    <hyperlink ref="J455" r:id="rId179" display="https://www.analog.com/media/en/radiation-information/radiation-reports/RLAT%20200K%20Report_RH1014MW_Fab%20Lot%20W10722836%201.pdf" xr:uid="{8B3C9CD3-B684-4336-9030-966C62C6C792}"/>
    <hyperlink ref="J459" r:id="rId180" display="https://www.analog.com/media/en/radiation-information/radiation-reports/RLAT%20200K%20Report_RH101AW_Fab%20Lot%20WP1200%202.pdf" xr:uid="{AE043181-BD23-48A6-A6C4-857626DCE147}"/>
    <hyperlink ref="J471" r:id="rId181" display="https://www.analog.com/media/en/radiation-information/radiation-reports/ELDRS_LDR_RH1056AMW_Fab_Lot_102171302.1_W13.pdf" xr:uid="{468F7295-9983-4B00-BD30-D29D41140CBD}"/>
    <hyperlink ref="J475" r:id="rId182" display="https://www.analog.com/media/en/radiation-information/radiation-reports/RLAT%20200K%20Report_RH1021CMW-5_Fab%20Lot%2010222458%201.pdf" xr:uid="{52105313-1F52-4866-8516-BBD6563E7FAD}"/>
    <hyperlink ref="J486" r:id="rId183" display="https://www.analog.com/media/en/radiation-information/radiation-reports/RLAT%20200K%20Report_RH1056AMW_Fab%20Lot%2010217302.1.pdf" xr:uid="{22AC00F5-BB1A-45D0-8D17-187B34D32D86}"/>
    <hyperlink ref="J487" r:id="rId184" display="https://www.analog.com/media/en/radiation-information/radiation-reports/RLAT%20200K%20Report_RH1056AMW_Fab%20Lot%2010217302.1.pdf" xr:uid="{94721EE3-A297-4694-A614-106C55AD4857}"/>
    <hyperlink ref="J502" r:id="rId185" display="https://www.analog.com/media/en/radiation-information/radiation-reports/ELDRS_HDR_RH118W_Fab_Lot_10208970.1_W5.pdf" xr:uid="{1EA70E16-8055-4B34-9D51-29E150127DE8}"/>
    <hyperlink ref="N439" r:id="rId186" display="https://www.analog.com/media/en/radiation-information/radiation-reports/DDD_RH1009MW_Fab_Lot_WP1399_1_W5.pdf" xr:uid="{7187B8D0-BCEA-4273-86E9-8089585D8A4E}"/>
    <hyperlink ref="L511" r:id="rId187" display="https://www.analog.com/media/en/radiation-information/radiation-reports/SEE_Test_Report_RH1498.pdf" xr:uid="{D3A74853-E222-4321-B90A-B1441FA04CE2}"/>
    <hyperlink ref="L513" r:id="rId188" display="https://www.analog.com/media/en/radiation-information/radiation-reports/SEE_Test_Report_RH1498.pdf" xr:uid="{BC457E47-CCD7-47D2-A8C7-51736524D750}"/>
    <hyperlink ref="J511" r:id="rId189" display="https://www.analog.com/media/en/radiation-information/radiation-reports/ELDRS_HDR_RH1498MW_W1403645_3_W7.pdf" xr:uid="{5127E97A-0876-4568-92DB-615698AD17F6}"/>
    <hyperlink ref="L516" r:id="rId190" display="Heavy-Ion Test Results of the Dual Rail-to-Rail Input and Output Precision C-Load Op Amp RH1498MW (analog.com)" xr:uid="{DEF2E9D8-B595-470A-8AF9-60FA3354780F}"/>
    <hyperlink ref="J516" r:id="rId191" display="https://www.analog.com/media/en/radiation-information/radiation-reports/RLAT_200K_Report_RH1499MW_Fab_Lot_W10739896.2_W20.pdf" xr:uid="{29F1172D-EA52-436B-87A7-CAF249678071}"/>
    <hyperlink ref="J520" r:id="rId192" display="https://www.analog.com/media/en/radiation-information/radiation-reports/RLAT%20Report_RH1814MW_Fab%20Lot%20WF004231.2.pdf" xr:uid="{D0866EC7-D589-46E7-B17A-DADC9C21C302}"/>
    <hyperlink ref="J548" r:id="rId193" display="https://www.analog.com/media/en/radiation-information/radiation-reports/hdr_rh6105mw-generic-rad-report.pdf" xr:uid="{BA95EA73-C8CB-4D76-8599-2B49884C1429}"/>
    <hyperlink ref="L548" r:id="rId194" display="RH6105 Heavy Ion Test Report.pdf (analog.com)" xr:uid="{BEB550DF-ED1C-4754-BF62-CA0325D64095}"/>
    <hyperlink ref="J124" r:id="rId195" display="https://www.analog.com/media/en/radiation-information/radiation-reports/ad9814s_hdr.pdf" xr:uid="{290E9A7B-A81C-43A6-B25D-5443D3C2D6AD}"/>
    <hyperlink ref="J108" r:id="rId196" display="https://www.analog.com/media/en/radiation-information/radiation-reports/ad9176s_hdr_generic.pdf" xr:uid="{44C471A7-FD54-4B74-97EC-C3570E1CE79C}"/>
    <hyperlink ref="J117" r:id="rId197" display="https://www.analog.com/media/en/radiation-information/radiation-reports/ad9361-csh.pdf" xr:uid="{14FE49EC-E186-4D47-AC0F-350B7ADBBAB0}"/>
    <hyperlink ref="J234" r:id="rId198" display="https://www.analog.com/media/en/radiation-information/radiation-reports/adh8411s_csh_rad_report.pdf" xr:uid="{49415E26-1983-455C-B0D0-96D249DA201B}"/>
    <hyperlink ref="L234" r:id="rId199" display="https://www.analog.com/media/en/radiation-information/radiation-reports/adh8411s_see.pdf" xr:uid="{04A2CA8C-37D7-453D-AC82-D065280FB24A}"/>
    <hyperlink ref="J114" r:id="rId200" display="https://www.analog.com/media/en/radiation-information/radiation-reports/ad9257s_hdr_generic.pdf" xr:uid="{282600E0-F973-4E64-813F-55F3BD27EBAA}"/>
    <hyperlink ref="J118" r:id="rId201" display="https://www.analog.com/media/en/radiation-information/radiation-reports/ad9361-csl_hdr.pdf" xr:uid="{8CCEEBFA-5706-45C4-A3A4-34E2B5631793}"/>
    <hyperlink ref="J119" r:id="rId202" xr:uid="{6A0C2E7C-321F-47FA-B1F5-A0918F8BDA69}"/>
    <hyperlink ref="N500" r:id="rId203" display="https://www.analog.com/media/en/radiation-information/radiation-reports/DDD_RH117K_Fab_Lot_9529063_1_W9.pdf" xr:uid="{ACFB315F-091E-46FE-B048-7C9CA7C7AB25}"/>
    <hyperlink ref="J235" r:id="rId204" display="https://www.analog.com/media/en/radiation-information/radiation-reports/adh8411s_csl_rad_report.pdf" xr:uid="{F52F072A-5213-4819-A503-592488663CB4}"/>
    <hyperlink ref="L235" r:id="rId205" display="https://www.analog.com/media/en/radiation-information/radiation-reports/adh8411s_see.pdf" xr:uid="{D04FE1CC-B62B-47B0-8D37-1C447F4205A0}"/>
    <hyperlink ref="J237" r:id="rId206" display="https://www.analog.com/media/en/radiation-information/radiation-reports/adh8412-hdr-24-0001-30k%20report.pdf" xr:uid="{9FC76651-A6D7-4316-B9E7-82CA053937AC}"/>
    <hyperlink ref="J239" r:id="rId207" display="https://www.analog.com/media/en/radiation-information/radiation-reports/adh8412-hdr-24-0001-30k%20report.pdf" xr:uid="{8E3A9A5E-637C-4C0D-A09E-668A1273A5D3}"/>
    <hyperlink ref="J281" r:id="rId208" display="https://www.analog.com/media/en/radiation-information/radiation-reports/adlt2852s-csl-hdr.pdf" xr:uid="{B50F630B-F455-49D4-964A-B47B9BA41773}"/>
    <hyperlink ref="N31" r:id="rId209" display="ad585_dd.xlsm (analog.com)" xr:uid="{40ADD038-72FC-4140-BAF3-921C7FD32E7B}"/>
    <hyperlink ref="N32" r:id="rId210" display="ad585_dd.xlsm (analog.com)" xr:uid="{582B8A1D-B482-4517-9E4F-D184DEF36EBB}"/>
    <hyperlink ref="J56" r:id="rId211" display="https://www.analog.com/media/en/radiation-information/radiation-reports/AD8001S_LDR_generic.pdf" xr:uid="{55EF0434-BCF2-4827-9621-2D120FED3B8C}"/>
    <hyperlink ref="J80" r:id="rId212" xr:uid="{6A30E7F0-FF1B-4DA6-80D0-9D8259167255}"/>
    <hyperlink ref="J267" r:id="rId213" display="https://www.analog.com/media/en/radiation-information/radiation-reports/adl6010s_hdr_generic.pdf" xr:uid="{EF98B88A-3A7E-4007-93F6-5FCC3E5B4CE4}"/>
    <hyperlink ref="J328" r:id="rId214" display="https://www.analog.com/media/en/radiation-information/radiation-reports/OP07S_HDR_generic.pdf" xr:uid="{2AE4F118-56AF-4B7C-B77D-F9C318E5F330}"/>
    <hyperlink ref="J357" r:id="rId215" display="https://www.analog.com/media/en/radiation-information/radiation-reports/OP27S_HDR_generic.pdf" xr:uid="{66DC1188-69EF-4AE1-95E0-0B263FEEE189}"/>
    <hyperlink ref="N357" r:id="rId216" display="OP27S_DD.xlsx (analog.com)" xr:uid="{04E402D5-AF6F-4E5B-BDF8-33538C1EAEC6}"/>
    <hyperlink ref="N374" r:id="rId217" display="https://www.analog.com/media/en/radiation-information/radiation-reports/op467_dd_2e12.pdf" xr:uid="{9CC36624-292B-47B2-9487-EDEFB4FBD792}"/>
    <hyperlink ref="J391" r:id="rId218" display="https://www.analog.com/media/en/radiation-information/radiation-reports/OP484S_HDR_generic.pdf" xr:uid="{46B3C459-FA57-4F27-8AB3-612B4B9558AE}"/>
    <hyperlink ref="N391" r:id="rId219" display="https://www.analog.com/media/en/radiation-information/radiation-reports/op484_dd_2e12.pdf" xr:uid="{CB59ADCF-2211-4D68-868E-9057B5A820E9}"/>
    <hyperlink ref="J408" r:id="rId220" display="https://www.analog.com/media/en/radiation-information/radiation-reports/PM139S_HDR_generic.pdf" xr:uid="{E036D1FA-9FD1-45EC-A6B8-7B2871F5B726}"/>
    <hyperlink ref="J458" r:id="rId221" display="https://www.analog.com/media/en/radiation-information/radiation-reports/RLAT%20200K%20Report_RH1016MW_Fab%20Lot%20WD003520%202.pdf" xr:uid="{DB57E4A5-D697-40E8-BBA0-0CD2A12E4F52}"/>
    <hyperlink ref="J460" r:id="rId222" display="https://www.analog.com/media/en/radiation-information/radiation-reports/RLAT%20200K%20Report_RH101AW_Fab%20Lot%20WP1200%202.pdf" xr:uid="{C6E1FF5B-1F7B-4057-A403-3E179A725CD0}"/>
    <hyperlink ref="N368:N373" r:id="rId223" display="DDD_RH1021CMW-5_Fab_Lot_1022458_1_W13.pdf (analog.com)" xr:uid="{342E208F-63D4-4512-8CF2-2C05A069C8CB}"/>
    <hyperlink ref="J470" r:id="rId224" display="RLAT Report_RH1021CMH-5_Fab Lot 10222458.1 (analog.com)" xr:uid="{DB90D1B1-3526-4F2A-AA3B-D2EB7C8F6D59}"/>
    <hyperlink ref="N481" r:id="rId225" display="Neutron Irradiation Test Results of the RH1028MW Ultralow Noise Precision High Speed Operational Amplifiers (analog.com)" xr:uid="{E7E816C9-0E48-49B5-B1A0-25B11AC55700}"/>
    <hyperlink ref="J490" r:id="rId226" display="https://www.analog.com/media/en/radiation-information/radiation-reports/RLAT%20100K%20Report_RH1078MW_Fab%20Lot%20WP1630.2.pdf" xr:uid="{08116183-7D57-464E-9692-580C85A7F3D3}"/>
    <hyperlink ref="J493" r:id="rId227" display="ELDRS Report_RH1086MK_Fab Lot W10913024.1 (analog.com)" xr:uid="{43F3CDE9-0B67-4C4D-815C-7B45F05CEF7F}"/>
    <hyperlink ref="J496" r:id="rId228" display="RLAT Report_RH108AH_Fab Lot WP1270.1 (analog.com)" xr:uid="{0C2B0E2B-9345-43E9-80A8-D769D3BA6427}"/>
    <hyperlink ref="J500" r:id="rId229" display="https://www.analog.com/media/en/radiation-information/radiation-reports/RLAT%20200K%20Report_RH117H_Fab%20Lot%20WP1060%201.pdf" xr:uid="{647DA311-0EAF-4D19-80E4-7B97D7AA978D}"/>
    <hyperlink ref="N501" r:id="rId230" display="https://www.analog.com/media/en/radiation-information/radiation-reports/DDD_RH117K_Fab_Lot_9529063_1_W9.pdf" xr:uid="{D108BD5E-7550-44F1-BABD-E7EBBC6A7D6D}"/>
    <hyperlink ref="J505" r:id="rId231" display="https://www.analog.com/media/en/radiation-information/radiation-reports/RLAT%20200K%20Report_RH119W_F0258.1.pdf" xr:uid="{1A3D5857-DAC3-483E-A23A-BAB6F5EFEFB5}"/>
    <hyperlink ref="J508" r:id="rId232" display="https://www.analog.com/media/en/radiation-information/radiation-reports/RLAT%20200K%20Report_RH137H_Fab%20Lot%20W10641855%201.pdf" xr:uid="{7B94474C-CD8B-4B65-820E-24A2D790060B}"/>
    <hyperlink ref="N508" r:id="rId233" display="https://www.analog.com/media/en/radiation-information/radiation-reports/DDD_RH137K_Fab_Lot_10008104_1_W7_rev2.pdf" xr:uid="{69357963-1E9D-4CDD-BB54-A9B6A68230A2}"/>
    <hyperlink ref="J514" r:id="rId234" display="https://www.analog.com/media/en/radiation-information/radiation-reports/RLAT%20200K%20Report_RH1498MW_Fab%20Lot%20W10737593.1.pdf" xr:uid="{08D7E692-E0B6-4769-B46D-2B842B7A7D93}"/>
    <hyperlink ref="L514" r:id="rId235" display="https://www.analog.com/media/en/radiation-information/radiation-reports/SEE_Test_Report_RH1498.pdf" xr:uid="{3ACA01EE-0A7C-464C-9265-32564101BE83}"/>
    <hyperlink ref="J519" r:id="rId236" display="RLAT Report_RH1573MJ8_Fab Lot W10809524.1 (analog.com)" xr:uid="{12CC6386-6644-47DE-B631-35764770577D}"/>
    <hyperlink ref="J521" r:id="rId237" display="https://www.analog.com/media/en/radiation-information/radiation-reports/RLAT%20200K%20Report_RH1814MW_Fab%20Lot%20WF001929.pdf" xr:uid="{85E97583-6EA4-4556-A0B2-7719858B33C1}"/>
    <hyperlink ref="N523" r:id="rId238" display="https://www.analog.com/media/en/radiation-information/radiation-reports/DDD_Report_RH1959.pdf" xr:uid="{60438A02-0BD4-49FF-A563-7F8F946952AD}"/>
    <hyperlink ref="L526" r:id="rId239" display="see-test-report-rh1965.pdf (analog.com)" xr:uid="{47FB33D2-ECCE-4D46-957F-623FFC161730}"/>
    <hyperlink ref="J532" r:id="rId240" display="https://www.analog.com/media/en/radiation-information/radiation-reports/rh3080-tid-report.pdf" xr:uid="{25B79FF6-401E-494C-942C-DE3C03C93C42}"/>
    <hyperlink ref="L532" r:id="rId241" display="https://www.analog.com/media/en/radiation-information/radiation-reports/SEE_Test_Report_RH3080.pdf" xr:uid="{A5F6E5CC-6F78-48BF-BF7F-CA142E78C81E}"/>
    <hyperlink ref="N532" r:id="rId242" display="https://www.analog.com/media/en/radiation-information/radiation-reports/DDD_RH3080MK_Fab_Lot_H0923840_4_W3.pdf" xr:uid="{0D4AF0E9-34DE-47D5-B8DA-A062BD0390D1}"/>
    <hyperlink ref="J535" r:id="rId243" display="https://www.analog.com/media/en/radiation-information/radiation-reports/RLAT_HDR_RH3083MK_Fab_Lot_HP201682_1_W1.pdf" xr:uid="{AD5F9974-A9ED-45B0-92A2-880FD1B89525}"/>
    <hyperlink ref="L535" r:id="rId244" display="https://www.analog.com/media/en/radiation-information/radiation-reports/RH3083_SEE_Test_Report_Final.pdf" xr:uid="{BE65C706-1925-4178-A28F-82272BCF043B}"/>
    <hyperlink ref="J538" r:id="rId245" display="https://www.analog.com/media/en/radiation-information/radiation-reports/ELDRS_HDR_RH3845_WD005795.2_W9.pdf" xr:uid="{F4EC835A-7B83-4C1F-9C1B-5C3922D67946}"/>
    <hyperlink ref="L538" r:id="rId246" display="https://www.analog.com/media/en/radiation-information/radiation-reports/SEE_Test_Report_RH3845.pdf" xr:uid="{08219A30-AE28-4343-B670-FDA2AA0B6537}"/>
    <hyperlink ref="L540" r:id="rId247" display="https://www.analog.com/media/en/radiation-information/radiation-reports/SEE_Test_Report_RH3845.pdf" xr:uid="{7FDF76DC-9A3E-48D4-BF5D-CE86DA7CDEEC}"/>
    <hyperlink ref="L545" r:id="rId248" xr:uid="{1A558DDA-2F3C-46CB-BC7A-E672D2382724}"/>
    <hyperlink ref="J551" r:id="rId249" display="https://www.analog.com/media/en/radiation-information/radiation-reports/RLAT%20200K%20Report_RH6200MW_Fab%20Lot%20WD004518.3%20W9.pdf" xr:uid="{B46600FE-8FF9-4E08-ACE1-1A58796CF824}"/>
    <hyperlink ref="J11" r:id="rId250" display="AD524S HDR generic.xls (analog.com)" xr:uid="{DE601E36-1D82-421A-B5B1-998CB090FA8E}"/>
    <hyperlink ref="N326" r:id="rId251" display="https://www.analog.com/media/en/radiation-information/radiation-reports/op07_dd.pdf" xr:uid="{CEBC0893-41BF-43C1-9F87-47E58EF36EDA}"/>
    <hyperlink ref="N325" r:id="rId252" display="https://www.analog.com/media/en/radiation-information/radiation-reports/op07_dd.pdf" xr:uid="{B9D5804D-97B3-4343-94E1-D42821017C5B}"/>
    <hyperlink ref="N324" r:id="rId253" display="https://www.analog.com/media/en/radiation-information/radiation-reports/op07_dd.pdf" xr:uid="{98CAC43C-A8F1-430C-9CFD-EAE8A2FE8F5A}"/>
    <hyperlink ref="J326" r:id="rId254" display="https://www.analog.com/media/en/radiation-information/radiation-reports/OP07S_HDR_generic.pdf" xr:uid="{4804C5CE-A6A9-4E2F-8777-D792BC1B9E3E}"/>
    <hyperlink ref="J325" r:id="rId255" display="https://www.analog.com/media/en/radiation-information/radiation-reports/OP07S_HDR_generic.pdf" xr:uid="{6B08A2E0-B264-4AE0-B2E1-B1B31ED33E5F}"/>
    <hyperlink ref="J324" r:id="rId256" display="https://www.analog.com/media/en/radiation-information/radiation-reports/OP07S_HDR_generic.pdf" xr:uid="{165B8AE4-F26F-4435-AF2E-720E68A0ED8B}"/>
    <hyperlink ref="J125" r:id="rId257" display="AD9914S-HDR (analog.com)" xr:uid="{B3B2DCE6-1A9C-40A1-948B-2220E4633245}"/>
    <hyperlink ref="J451" r:id="rId258" display="RLAT 200K Report_RH1013MJ8_Fab Lot W10722836.pdf (analog.com)" xr:uid="{136F2BEF-4D51-4AFF-B038-B75A5414B0AA}"/>
    <hyperlink ref="J512" r:id="rId259" display="https://www.analog.com/media/en/radiation-information/radiation-reports/RLAT%20200K%20Report_RH1498MW_Fab%20Lot%20W10737593%20W20.pdf" xr:uid="{C148A956-8E31-4D0D-A0F1-4E39DFE708D9}"/>
    <hyperlink ref="N512" r:id="rId260" display="DDD_RH1498MW_Fab_Lot_W10739896.1_W9.pdf (analog.com)" xr:uid="{75D3A2BA-0E46-4FB9-975B-DFDBFFF8F5F8}"/>
    <hyperlink ref="J549" r:id="rId261" display="High Dose Radiation Test Report RH6105MW (analog.com)" xr:uid="{DE71C193-DCA6-4323-A9D3-7C6E99B40DAE}"/>
    <hyperlink ref="L549" r:id="rId262" display="RH6105 Heavy Ion Test Report.pdf (analog.com)" xr:uid="{55E670C1-17F0-4CF8-AA17-6EE1BC5B58CA}"/>
    <hyperlink ref="J529" r:id="rId263" display="https://www.analog.com/media/en/radiation-information/radiation-reports/RLAT%20Report_RH27CW_Fab%20Lot%2010223511.1.pdf" xr:uid="{DF8290A6-242D-4FEE-90E8-426347DB2086}"/>
    <hyperlink ref="J527" r:id="rId264" display="https://www.analog.com/media/en/radiation-information/radiation-reports/RLAT%20Report_RH27CW_Fab%20Lot%2010223511.1.pdf" xr:uid="{B8E25625-E45E-4506-8DB4-861875F73DEE}"/>
    <hyperlink ref="J345:J347" r:id="rId265" display="https://www.analog.com/media/en/radiation-information/radiation-reports/RLAT%20200K%20Report_RH1009MH_Fab%20Lot%20W10737659.1.pdf" xr:uid="{D433E7A7-D6B0-4672-AA60-AC52B5E2986A}"/>
    <hyperlink ref="J349:J350" r:id="rId266" display="https://www.analog.com/media/en/radiation-information/radiation-reports/RLAT%20200K%20Report_RH1009MH_Fab%20Lot%20W10737659.1.pdf" xr:uid="{98040CA8-E0E7-46BD-A0ED-635DE999A996}"/>
    <hyperlink ref="J456" r:id="rId267" display="https://www.analog.com/media/en/radiation-information/radiation-reports/RLAT%20200K%20Report_RH1014MW_Fab%20Lot%20W10722836%201.pdf" xr:uid="{21EDA373-50E7-40E0-B72C-74B8D6D271E9}"/>
    <hyperlink ref="J378:J379" r:id="rId268" display="RLAT Report_RH1021CMH-5_Fab Lot 10222458.1 (analog.com)" xr:uid="{762E9BC6-B79C-44DA-A921-27463ED74E80}"/>
    <hyperlink ref="J513" r:id="rId269" display="https://www.analog.com/media/en/radiation-information/radiation-reports/ELDRS_HDR_RH1498MW_W1403645_3_W7.pdf" xr:uid="{132D7F69-482A-417B-A136-1D3A1A8233C0}"/>
    <hyperlink ref="J517" r:id="rId270" display="https://www.analog.com/media/en/radiation-information/radiation-reports/RLAT_200K_Report_RH1499MW_Fab_Lot_W10739896.2_W20.pdf" xr:uid="{D56B4695-BB2F-4B3E-90F6-949D8BBF9962}"/>
    <hyperlink ref="J531" r:id="rId271" display="https://www.analog.com/media/en/radiation-information/radiation-reports/RLAT%20Report_RH27CW_Fab%20Lot%2010223511.1.pdf" xr:uid="{9D10E0B3-5472-43EF-A111-098B611A4C96}"/>
    <hyperlink ref="J442:J444" r:id="rId272" display="https://www.analog.com/media/en/radiation-information/radiation-reports/RLAT%20Report_RH27CW_Fab%20Lot%2010223511.1.pdf" xr:uid="{1307FAC9-6274-43D8-B4EB-AD06E36E1F91}"/>
    <hyperlink ref="J540" r:id="rId273" display="https://www.analog.com/media/en/radiation-information/radiation-reports/ELDRS_HDR_RH3845_WD005795.2_W9.pdf" xr:uid="{E6906712-0BC7-4994-B5CE-955F1475690F}"/>
    <hyperlink ref="J454:J455" r:id="rId274" display="https://www.analog.com/media/en/radiation-information/radiation-reports/ELDRS_HDR_RH3845_WD005795.2_W9.pdf" xr:uid="{19909699-120F-4CFB-B28C-0C2E324FFD4B}"/>
    <hyperlink ref="J403:J406" r:id="rId275" display="https://www.analog.com/media/en/radiation-information/radiation-reports/RLAT_200K_Report_RH1086MK_Fab_Lot_W10913024.1_W23.pdf" xr:uid="{4383AF7A-EE71-4A5D-ACE9-99B5C514B683}"/>
    <hyperlink ref="L517" r:id="rId276" display="Heavy-Ion Test Results of the Dual Rail-to-Rail Input and Output Precision C-Load Op Amp RH1498MW (analog.com)" xr:uid="{5CFFD4D2-6A57-450A-A340-98FE39E4388C}"/>
    <hyperlink ref="N345:N347" r:id="rId277" display="https://www.analog.com/media/en/radiation-information/radiation-reports/DDD_RH1009MW_Fab_Lot_WP1399_1_W5.pdf" xr:uid="{2A6C6F89-5011-4876-83EA-B3B159DDDC4C}"/>
    <hyperlink ref="N349:N350" r:id="rId278" display="https://www.analog.com/media/en/radiation-information/radiation-reports/DDD_RH1009MW_Fab_Lot_WP1399_1_W5.pdf" xr:uid="{E6B60CFA-3D48-4FFB-8390-854A41697D94}"/>
    <hyperlink ref="N514" r:id="rId279" display="DDD_RH1498MW_Fab_Lot_W10739896.1_W9.pdf (analog.com)" xr:uid="{2C1612D5-28D2-4C62-ACCA-E9D7CF1CDADA}"/>
    <hyperlink ref="J318" r:id="rId280" xr:uid="{76DDF8A5-7964-4A9C-B2AA-34C5C6EEB95F}"/>
    <hyperlink ref="J274" r:id="rId281" display="https://www.analog.com/media/en/radiation-information/radiation-reports/adl8141_hdr.pdf " xr:uid="{F9F9A336-2F04-4134-8E04-A4D002C0BB18}"/>
    <hyperlink ref="S274" r:id="rId282" xr:uid="{CC42CA79-E76B-436B-BC33-0897114265E4}"/>
    <hyperlink ref="J276" r:id="rId283" display="https://www.analog.com/media/en/radiation-information/radiation-reports/adl8142s_hdr.pdf " xr:uid="{0C9C9B47-F5A0-45ED-BC48-FBF508B3B80D}"/>
    <hyperlink ref="J277" r:id="rId284" display="https://www.analog.com/media/en/radiation-information/radiation-reports/adl8142s_hdr.pdf " xr:uid="{7A25C954-1F96-40FB-8206-364817C2AFEA}"/>
    <hyperlink ref="J275" r:id="rId285" display="https://www.analog.com/media/en/radiation-information/radiation-reports/adl8142-2_hdr.pdf " xr:uid="{8A4F3544-3C61-4BDA-8242-67F5002932C7}"/>
    <hyperlink ref="J54" r:id="rId286" display="https://www.analog.com/media/en/radiation-information/radiation-reports/AD768S_HDR_generic.pdf " xr:uid="{54507BA6-056C-4055-92C8-C8649A4F845A}"/>
    <hyperlink ref="J29" r:id="rId287" xr:uid="{3F8BA347-4008-4641-9C8A-AB18414781CA}"/>
    <hyperlink ref="L69" r:id="rId288" display="Microsoft Word - AD8182 SEL Report 10-083 r1p0.doc (analog.com)" xr:uid="{E6ACD67B-B164-4A31-93FC-6F92D49FCB08}"/>
    <hyperlink ref="J66" r:id="rId289" display="https://www.analog.com/media/en/radiation-information/radiation-reports/AD8138S_HDR_generic.pdf" xr:uid="{136BD39C-0416-4884-BB40-DC9963BA6668}"/>
    <hyperlink ref="J69" r:id="rId290" display="https://www.analog.com/media/en/radiation-information/radiation-reports/AD8182S_HDR_Generic.pdf" xr:uid="{1F1CC1F4-3BF7-4D44-8FD3-96DD528F6C1D}"/>
    <hyperlink ref="L72" r:id="rId291" display="Microsoft Word - ARAD 14-0086.140415.R1.2 Test Report for the SEE Testing of the AD8210.2014-05-27C2.docx (analog.com)" xr:uid="{A5838D0B-4ADE-4761-9E34-B34457434D7D}"/>
    <hyperlink ref="L74" r:id="rId292" display="Microsoft Word - AD8212 SEL Report 10-080 r1p1.doc (analog.com)" xr:uid="{552B01A8-FC28-4F6A-87DB-EFF6BDA4DD13}"/>
    <hyperlink ref="L75" r:id="rId293" display="Microsoft Word - AD8212 SEL Report 10-080 r1p1.doc (analog.com)" xr:uid="{70E73B8D-A912-4146-8739-4BC30E37490A}"/>
    <hyperlink ref="L81" r:id="rId294" display="Microsoft Word - AD8306 SEL Report 11-453 r1p0.doc (analog.com)" xr:uid="{C20C4438-2B86-49A8-A2DB-CA31EA1250FC}"/>
    <hyperlink ref="L84" r:id="rId295" display="Microsoft Word - AD8346 SEL Report 10-050 r1p1.doc (analog.com)" xr:uid="{97D926DB-8DEB-4225-BE01-8283B6EB7A4B}"/>
    <hyperlink ref="L87" r:id="rId296" display="Microsoft Word - AD8351 SEL Report 10-051 r1p0.doc (analog.com)" xr:uid="{BE4D8CF2-7EE6-4432-8B0E-CC967F770783}"/>
    <hyperlink ref="L108" r:id="rId297" display="https://www.analog.com/media/en/radiation-information/radiation-reports/ad9176_heavy_ion_see_report_final.pdf " xr:uid="{340F6592-AD92-47FD-AE53-03D5CB1CB057}"/>
    <hyperlink ref="L110" r:id="rId298" display="https://www.analog.com/media/en/radiation-information/radiation-reports/AD9246S_SEE_generic.pdf " xr:uid="{3F9B2AED-C78B-4E0F-B57C-BE79835F048A}"/>
    <hyperlink ref="J126" r:id="rId299" display="AD9914S-HDR (analog.com)" xr:uid="{5D73B8ED-CE96-4995-BAF7-04D046C99817}"/>
    <hyperlink ref="J255" r:id="rId300" display="ADH987_HDR-19_0009_generic.xlsx (analog.com)" xr:uid="{20B01ADF-8519-47A9-8928-00C8723C31D3}"/>
    <hyperlink ref="N314" r:id="rId301" display="https://www.analog.com/media/en/radiation-information/radiation-reports/dac08_dd.pdf" xr:uid="{361026E1-FECA-466E-B24B-A564778D937E}"/>
    <hyperlink ref="J314" r:id="rId302" display="https://www.analog.com/media/en/radiation-information/radiation-reports/DAC08S_HDR_generic.pdf" xr:uid="{3C965E13-27CB-498A-A44A-8AD122AF1F01}"/>
    <hyperlink ref="J315" r:id="rId303" display="https://www.analog.com/media/en/radiation-information/radiation-reports/DAC08S_HDR_generic.pdf" xr:uid="{ADA34109-99F1-4300-8970-90C3C5D38D52}"/>
    <hyperlink ref="N328" r:id="rId304" display="https://www.analog.com/media/en/radiation-information/radiation-reports/op07_dd.pdf" xr:uid="{1E148056-F909-4CA5-9FDB-001C679957FE}"/>
    <hyperlink ref="N327" r:id="rId305" display="https://www.analog.com/media/en/radiation-information/radiation-reports/op07_dd.pdf" xr:uid="{AF0F6562-A9F7-42FA-867D-FB95B0262186}"/>
    <hyperlink ref="J411" r:id="rId306" display="https://www.analog.com/media/en/radiation-information/radiation-reports/PM156S_HDR_generic.pdf" xr:uid="{7883A620-75A8-4CBF-88CA-67DA25325D83}"/>
    <hyperlink ref="J412" r:id="rId307" display="https://www.analog.com/media/en/radiation-information/radiation-reports/PM156S_HDR_generic.pdf" xr:uid="{CB1A3642-E7D2-4140-B977-A4F46FD1AF8F}"/>
    <hyperlink ref="J413" r:id="rId308" display="https://www.analog.com/media/en/radiation-information/radiation-reports/PM156S_HDR_generic.pdf" xr:uid="{084CAAE1-4313-48E7-B8CF-3C96EBE4AB7D}"/>
    <hyperlink ref="N434" r:id="rId309" display="https://www.analog.com/media/en/radiation-information/radiation-reports/ref43s_dd_2e12.pdf" xr:uid="{4CFFDD57-3A04-4768-B114-E44F52D30B14}"/>
    <hyperlink ref="N435" r:id="rId310" display="https://www.analog.com/media/en/radiation-information/radiation-reports/ref43s_dd_2e12.pdf" xr:uid="{DBE5BDB5-F770-4379-BD69-FFF78DB787C9}"/>
    <hyperlink ref="J483" r:id="rId311" xr:uid="{66DE7AFD-103B-4BCB-94C4-AE87595D1DB0}"/>
    <hyperlink ref="J485" r:id="rId312" xr:uid="{FEA648FD-3747-4455-8E0F-18572C8AF3E7}"/>
    <hyperlink ref="S524" r:id="rId313" xr:uid="{677ECA14-C79A-4BC0-A9EB-EFA3A5957F02}"/>
    <hyperlink ref="S525" r:id="rId314" xr:uid="{FC927822-36EA-4CD4-A583-2016490C743F}"/>
    <hyperlink ref="S523" r:id="rId315" xr:uid="{33323702-0335-4C71-BDD3-669C559BE145}"/>
    <hyperlink ref="N524" r:id="rId316" display="https://www.analog.com/media/en/radiation-information/radiation-reports/DDD_Report_RH1959.pdf" xr:uid="{5D74920B-D8C8-4265-A1EB-422C3EB504A4}"/>
    <hyperlink ref="S292" r:id="rId317" xr:uid="{CCF5F5E0-5AC7-406D-85DD-5DF3648A3E6C}"/>
    <hyperlink ref="J292" r:id="rId318" xr:uid="{6B909FEC-40AA-400C-90DB-F003D09B04ED}"/>
    <hyperlink ref="S160" r:id="rId319" xr:uid="{A588EBB8-C747-42B5-A8C2-F69F5EE3A636}"/>
    <hyperlink ref="S166" r:id="rId320" xr:uid="{F73B01F4-C845-4D48-80BE-A1DB7982C290}"/>
    <hyperlink ref="S183" r:id="rId321" xr:uid="{342F99D1-C261-4E36-BF4A-7BD463CF6A25}"/>
    <hyperlink ref="S185" r:id="rId322" xr:uid="{CEC63587-DBCE-4071-9FD9-2C65C9D99643}"/>
    <hyperlink ref="S189" r:id="rId323" xr:uid="{B8013C99-EE2F-451B-8D83-4DB5C10192C1}"/>
    <hyperlink ref="S194" r:id="rId324" xr:uid="{E9D61F09-4B32-4033-A656-6F9F8E8B0C1C}"/>
    <hyperlink ref="S197" r:id="rId325" xr:uid="{5C61E9BC-7F4C-4072-A256-0C4C05B8F3CD}"/>
    <hyperlink ref="S208" r:id="rId326" xr:uid="{E7927587-34E0-403F-9955-D1CBD041B8B6}"/>
    <hyperlink ref="S213" r:id="rId327" xr:uid="{618E2F73-1964-499E-B555-D77E91E21E38}"/>
    <hyperlink ref="S215" r:id="rId328" xr:uid="{C3EB3206-E8F9-40A1-B1A6-51D10CE67F6F}"/>
    <hyperlink ref="S218" r:id="rId329" xr:uid="{C63C75AE-AB69-44C6-BC8B-4A7298676158}"/>
    <hyperlink ref="S225" r:id="rId330" xr:uid="{E010A1BD-7A49-4000-B967-6974D0A1196A}"/>
    <hyperlink ref="S228" r:id="rId331" xr:uid="{10A5B9CB-FE3A-4AB2-99A8-DBC43A56BCA4}"/>
    <hyperlink ref="S229" r:id="rId332" xr:uid="{FF97398F-F5E9-40B8-94EF-4849E2D25CA1}"/>
    <hyperlink ref="S243" r:id="rId333" xr:uid="{B2B3EBE6-CC66-46F0-B3F8-EC30099EE25D}"/>
    <hyperlink ref="S244" r:id="rId334" xr:uid="{C81FA0A3-D790-4EC1-9746-E2E1DB118F71}"/>
    <hyperlink ref="S260" r:id="rId335" xr:uid="{EFCDBBA9-8D12-4804-842C-D6E8E58ABE16}"/>
    <hyperlink ref="S257" r:id="rId336" xr:uid="{51840527-BFE0-45A6-8E56-B14A55850180}"/>
    <hyperlink ref="S258" r:id="rId337" xr:uid="{891932F7-9E8F-4C7C-893E-B6410371B812}"/>
    <hyperlink ref="S273" r:id="rId338" xr:uid="{88611306-0EE3-467A-A068-2F2CA321A2A8}"/>
    <hyperlink ref="J273" r:id="rId339" display="https://www.analog.com/media/en/radiation-information/radiation-reports/adl8141_hdr.pdf " xr:uid="{E2AB9AAB-929A-4BF4-BB81-2165E39147ED}"/>
    <hyperlink ref="S246" r:id="rId340" xr:uid="{25E9225D-162C-4526-8A76-DF69B5D35734}"/>
    <hyperlink ref="J317" r:id="rId341" xr:uid="{616BAC27-AE2E-41F1-B78B-CAAF04FD458B}"/>
    <hyperlink ref="S317" r:id="rId342" xr:uid="{5B8B3E52-492E-4835-B97B-031B14465A06}"/>
    <hyperlink ref="J5" r:id="rId343" display="https://www.analog.com/media/en/radiation-information/radiation-reports/ad1671-hdr-generic.pdf " xr:uid="{6BEA121D-2F4C-410C-AAA0-DBF824D736B2}"/>
    <hyperlink ref="J6" r:id="rId344" display="https://www.analog.com/media/en/radiation-information/radiation-reports/ad1671-hdr-generic.pdf " xr:uid="{F4C1712A-065B-4C4F-9D5E-D67D0389B405}"/>
    <hyperlink ref="J8" r:id="rId345" display="https://www.analog.com/media/en/radiation-information/radiation-reports/ad1672-hdr-generic.pdf " xr:uid="{4F427287-18D2-4FB5-8469-F63EF9B9D8D7}"/>
    <hyperlink ref="J31" r:id="rId346" display="https://www.analog.com/media/en/radiation-information/radiation-reports/ad585-hdr-generic.pdf " xr:uid="{132495E5-E7CD-4051-853D-D2E12BD925E6}"/>
    <hyperlink ref="J32" r:id="rId347" display="https://www.analog.com/media/en/radiation-information/radiation-reports/ad585-hdr-generic.pdf " xr:uid="{35D002D8-F192-4622-967B-6080FDC80D92}"/>
    <hyperlink ref="J53" r:id="rId348" display="https://www.analog.com/media/en/radiation-information/radiation-reports/ad670-hdr.pdf " xr:uid="{69323EA5-57C7-4D51-B058-0DC3963D3957}"/>
    <hyperlink ref="L56" r:id="rId349" display="https://www.analog.com/media/en/radiation-information/radiation-reports/ad8001-seu.pdf " xr:uid="{9237BB01-7AD6-4A9C-8F93-B78A8DADE9F1}"/>
    <hyperlink ref="L57" r:id="rId350" display="https://www.analog.com/media/en/radiation-information/radiation-reports/ad8001-seu.pdf " xr:uid="{26999FB5-4DBE-4845-BEC1-08A649ABDBA3}"/>
    <hyperlink ref="L58" r:id="rId351" display="https://www.analog.com/media/en/radiation-information/radiation-reports/ad8001-seu.pdf " xr:uid="{DFD55E53-02CC-4625-8CC2-CCC12FC4AB73}"/>
    <hyperlink ref="J61" r:id="rId352" display="https://www.analog.com/media/en/radiation-information/radiation-reports/ad8041-hdr.pdf " xr:uid="{8A5055AC-6379-420C-96E4-CDABE63CB1DB}"/>
    <hyperlink ref="J62" r:id="rId353" display="https://www.analog.com/media/en/radiation-information/radiation-reports/ad8041-hdr.pdf " xr:uid="{77F79DE8-2B24-4C82-B636-860E03B035BE}"/>
    <hyperlink ref="J63" r:id="rId354" display="https://www.analog.com/media/en/radiation-information/radiation-reports/ad8041-hdr.pdf " xr:uid="{5AEFA43F-DBE2-45B5-BAFD-BAB41588A5D1}"/>
    <hyperlink ref="J77" r:id="rId355" display="https://www.analog.com/media/en/radiation-information/radiation-reports/ad8229-ldr-generic.pdf " xr:uid="{65658591-35AB-47C2-B843-A45022005D8F}"/>
    <hyperlink ref="J93" r:id="rId356" xr:uid="{1150E1AA-B7D2-4D82-92DE-5F237B8218E7}"/>
    <hyperlink ref="J104" r:id="rId357" display="https://www.analog.com/media/en/radiation-information/radiation-reports/ad9042s-hdr.pdf " xr:uid="{208D0980-FF64-4865-A127-54B73274ECC5}"/>
    <hyperlink ref="J105" r:id="rId358" display="https://www.analog.com/media/en/radiation-information/radiation-reports/ad9042s-hdr.pdf " xr:uid="{B0E1FAE3-9495-4372-95F0-9D5306CACC2D}"/>
    <hyperlink ref="J120" r:id="rId359" display="https://www.analog.com/media/en/radiation-information/radiation-reports/ad9731s-hdr.pdf " xr:uid="{7042F3E8-9C8A-4E44-AFD7-8DFFF44FF80C}"/>
    <hyperlink ref="J121" r:id="rId360" display="https://www.analog.com/media/en/radiation-information/radiation-reports/ad9731s-hdr.pdf " xr:uid="{206C356B-DC80-40FE-8773-D91B5679FA57}"/>
    <hyperlink ref="J122" r:id="rId361" display="https://www.analog.com/media/en/radiation-information/radiation-reports/ad9731s-hdr.pdf " xr:uid="{64056EDC-328F-4A89-A1A4-7B7AD37605C5}"/>
    <hyperlink ref="J123" r:id="rId362" display="https://www.analog.com/media/en/radiation-information/radiation-reports/ad9731s-hdr.pdf " xr:uid="{A70D1296-CF12-4784-85F3-B2551B364BA6}"/>
    <hyperlink ref="N132" r:id="rId363" display="https://www.analog.com/media/en/radiation-information/radiation-reports/ada4084-2s-dd.pdf " xr:uid="{11BA6CD3-CC3F-4B01-94F5-1FC09254DF07}"/>
    <hyperlink ref="N133" r:id="rId364" display="https://www.analog.com/media/en/radiation-information/radiation-reports/ada4084-2s-dd.pdf " xr:uid="{9A5CE802-DA6A-45EE-96AF-A2CB917B3E52}"/>
    <hyperlink ref="L155" r:id="rId365" display="https://www.analog.com/media/en/radiation-information/radiation-reports/adf4108s-sel.pdf " xr:uid="{DC0A8FB7-E5DA-4F5C-944F-BCDF180A1BBA}"/>
    <hyperlink ref="L156" r:id="rId366" display="https://www.analog.com/media/en/radiation-information/radiation-reports/adf4108s-sel.pdf " xr:uid="{E999FFAD-20D4-4DB1-9995-8AEC8A5F6604}"/>
    <hyperlink ref="J158" r:id="rId367" display="https://www.analog.com/media/en/radiation-information/radiation-reports/adg201s-hdr.pdf " xr:uid="{470A42AC-4318-455E-90E5-DFF63FBD49B1}"/>
    <hyperlink ref="J178" r:id="rId368" display="https://www.analog.com/media/en/radiation-information/radiation-reports/adh361s-hdr.pdf " xr:uid="{4948001A-3EEB-4F5F-9C18-B442CCB6EBA5}"/>
    <hyperlink ref="J320" r:id="rId369" display="https://www.analog.com/media/en/radiation-information/radiation-reports/mat02-hdr.pdf " xr:uid="{A2FC97B6-08AF-403C-B1D6-4D63FDBF4869}"/>
    <hyperlink ref="J319" r:id="rId370" display="https://www.analog.com/media/en/radiation-information/radiation-reports/mat02-hdr.pdf " xr:uid="{CCB52ADF-C89B-479F-9D6E-B7CC12518806}"/>
    <hyperlink ref="J401" r:id="rId371" display="https://www.analog.com/media/en/radiation-information/radiation-reports/pm111-hdr.pdf " xr:uid="{7C074B00-4198-4377-B21E-11BEF92CDF43}"/>
    <hyperlink ref="J402" r:id="rId372" display="https://www.analog.com/media/en/radiation-information/radiation-reports/pm111-hdr.pdf " xr:uid="{69A24DC8-148A-45FD-A453-C7EEC832236E}"/>
    <hyperlink ref="J426" r:id="rId373" display="https://www.analog.com/media/en/radiation-information/radiation-reports/ref05-hdr.pdf " xr:uid="{EFAC1DCB-A2FB-4A00-9187-576F6718E78A}"/>
    <hyperlink ref="J427" r:id="rId374" display="https://www.analog.com/media/en/radiation-information/radiation-reports/ref05-hdr.pdf " xr:uid="{3B9FA431-D986-42C0-9B9A-8EE3715B28AA}"/>
    <hyperlink ref="J428" r:id="rId375" display="https://www.analog.com/media/en/radiation-information/radiation-reports/ref05-hdr.pdf " xr:uid="{AE381E87-31AE-496E-8675-38FE311112D8}"/>
    <hyperlink ref="J446" r:id="rId376" display="https://www.analog.com/media/en/radiation-information/radiation-reports/rh1011w-hdr.pdf " xr:uid="{8599C0D4-6013-499F-B6C1-FBD13553EBD2}"/>
    <hyperlink ref="J447" r:id="rId377" display="https://www.analog.com/media/en/radiation-information/radiation-reports/rh1011w-hdr.pdf " xr:uid="{F4568A51-C5F1-422D-86EE-4A37C0CB93AF}"/>
    <hyperlink ref="J445" r:id="rId378" display="https://www.analog.com/media/en/radiation-information/radiation-reports/rh1011w-hdr.pdf " xr:uid="{8E6E4920-25AD-4C40-BCF8-79A77F7ADB5E}"/>
    <hyperlink ref="J479" r:id="rId379" display="https://www.analog.com/media/en/radiation-information/radiation-reports/rh1021bmh-7-hdr.pdf " xr:uid="{FD0421CF-2E5A-4EA9-AD82-0C38132734C3}"/>
    <hyperlink ref="J499" r:id="rId380" display="https://www.analog.com/media/en/radiation-information/radiation-reports/rh1128mw-hdr.pdf " xr:uid="{0B33115D-C370-429B-ACB6-A36DB98D8ACC}"/>
    <hyperlink ref="J503" r:id="rId381" display="https://www.analog.com/media/en/radiation-information/radiation-reports/rh1185amk-hdr.pdf " xr:uid="{86026F9C-CD07-4B00-9310-AECD00F6E2E7}"/>
    <hyperlink ref="J546" r:id="rId382" display="https://www.analog.com/media/en/radiation-information/radiation-reports/rh6016s-hdr.pdf " xr:uid="{B66EDD1D-3EE8-4AC5-9BB6-AD00942F860C}"/>
    <hyperlink ref="J179" r:id="rId383" display="https://www.analog.com/media/en/radiation-information/radiation-reports/adh363s-hdr.pdf " xr:uid="{681A5524-FC8D-478C-ABAD-1C58F9508E92}"/>
    <hyperlink ref="J180" r:id="rId384" display="https://www.analog.com/media/en/radiation-information/radiation-reports/adh365s-hdr.pdf " xr:uid="{FFB3914A-69F3-4A5B-B812-E849B58C9469}"/>
    <hyperlink ref="J48" r:id="rId385" display="https://www.analog.com/media/en/radiation-information/radiation-reports/ad667-hdr.pdf " xr:uid="{15A8F12E-8D50-46A2-81BD-3064E788011A}"/>
    <hyperlink ref="J49" r:id="rId386" display="https://www.analog.com/media/en/radiation-information/radiation-reports/ad667-hdr.pdf " xr:uid="{6BCE2007-58A3-49A0-8278-83C662BD06F8}"/>
    <hyperlink ref="J50" r:id="rId387" display="https://www.analog.com/media/en/radiation-information/radiation-reports/ad667-hdr.pdf " xr:uid="{0A94928F-4B00-41CA-8472-68A6EB5E4E93}"/>
    <hyperlink ref="J45" r:id="rId388" display="https://www.analog.com/media/en/radiation-information/radiation-reports/ad648-ldr.pdf " xr:uid="{EF44E6B0-1F10-4032-BD37-6ACCF31C7C1F}"/>
    <hyperlink ref="S249" r:id="rId389" xr:uid="{58253AC4-D18D-4FCB-A77C-9C941E94C033}"/>
    <hyperlink ref="S216" r:id="rId390" xr:uid="{9DBFD4E1-826F-4948-8DD6-CEFFA0327345}"/>
    <hyperlink ref="S256" r:id="rId391" xr:uid="{3FE707CC-151B-4337-BE28-6E7853B7F583}"/>
    <hyperlink ref="S259" r:id="rId392" xr:uid="{3EFF3131-E36D-4854-A43E-8C508A828BD6}"/>
    <hyperlink ref="S181" r:id="rId393" xr:uid="{E1BDF9C0-33E0-4BB5-B7F4-36911E6ED937}"/>
    <hyperlink ref="S182" r:id="rId394" xr:uid="{69363A2D-9E49-4428-8ACE-26F72F585CE3}"/>
    <hyperlink ref="S171" r:id="rId395" xr:uid="{F86AA688-7AFD-431C-92D0-3A48F3178573}"/>
    <hyperlink ref="S220" r:id="rId396" xr:uid="{9EA9AF04-B28A-4D90-B939-EC8295945F72}"/>
    <hyperlink ref="S217" r:id="rId397" xr:uid="{4408B0E8-446C-4CA5-AB02-841AEBFBFA1A}"/>
    <hyperlink ref="S204" r:id="rId398" xr:uid="{94E78E5C-A8DB-4D22-9C7E-E5DA74132B22}"/>
    <hyperlink ref="S170" r:id="rId399" xr:uid="{4CCECCE2-1A29-4BE7-8AF3-BBDFB90FCE4A}"/>
    <hyperlink ref="S219" r:id="rId400" xr:uid="{A2FB2D7B-74AD-4986-8325-90F64587A9A7}"/>
    <hyperlink ref="S210" r:id="rId401" xr:uid="{9D738458-F59A-4987-9F93-2388F72DCDE3}"/>
    <hyperlink ref="S163" r:id="rId402" xr:uid="{8487EE46-BC43-42A5-92DA-E511C2702DF9}"/>
    <hyperlink ref="S206" r:id="rId403" xr:uid="{435FBDEA-765A-4179-97A3-773F35DE93F8}"/>
    <hyperlink ref="S252" r:id="rId404" xr:uid="{AEA61464-84F4-4490-973D-79BCDA167896}"/>
    <hyperlink ref="S240" r:id="rId405" xr:uid="{53A72B45-3B49-4420-939E-A09B7554A149}"/>
    <hyperlink ref="S241" r:id="rId406" xr:uid="{5231621F-E87F-4D32-B324-6C0C2439B01B}"/>
    <hyperlink ref="S162" r:id="rId407" xr:uid="{C683C8BD-28FC-4800-A9BE-F1400FBE028B}"/>
    <hyperlink ref="S202" r:id="rId408" xr:uid="{917F7CC4-3ED9-47BD-A84F-B0C1713CA767}"/>
    <hyperlink ref="S222" r:id="rId409" xr:uid="{5AA0560F-BFEF-49A9-B73F-687B8AE58C1F}"/>
    <hyperlink ref="S191" r:id="rId410" xr:uid="{1ACDB6E4-C51B-4880-AFFE-B74C60F27347}"/>
    <hyperlink ref="S172" r:id="rId411" xr:uid="{9A149994-3F13-48F6-9CAF-ACF5F5443C1E}"/>
    <hyperlink ref="S161" r:id="rId412" xr:uid="{B8FB3E5D-8B2F-4E35-8361-DC385CCB4346}"/>
    <hyperlink ref="L276" r:id="rId413" xr:uid="{91C50737-ACD2-44D0-AE25-89AB2D6855C6}"/>
    <hyperlink ref="L277" r:id="rId414" xr:uid="{C7B4E095-0E1C-4E7E-A586-8FAA380723B0}"/>
    <hyperlink ref="S251" r:id="rId415" xr:uid="{ACD7EF98-C287-47C6-A895-6E4EC27CEAE0}"/>
    <hyperlink ref="S214" r:id="rId416" xr:uid="{4EE08D5C-038C-489C-885C-EB596B72D02C}"/>
    <hyperlink ref="S245" r:id="rId417" xr:uid="{82D9D834-C406-453E-AE40-1950E10D96F4}"/>
    <hyperlink ref="S226" r:id="rId418" xr:uid="{C522A472-837A-422A-8BD8-4F14FE231EF5}"/>
    <hyperlink ref="S224" r:id="rId419" xr:uid="{68A56E35-7FDB-4C2D-A668-A0E73267C3ED}"/>
    <hyperlink ref="S223" r:id="rId420" xr:uid="{6B91474C-58A5-40C3-9B65-F381BFB12C60}"/>
    <hyperlink ref="S190" r:id="rId421" xr:uid="{81B476FC-9996-466C-A0E2-BB73B9035E4D}"/>
    <hyperlink ref="S212" r:id="rId422" xr:uid="{E375CB8A-B58E-40AB-876C-570D02A65F32}"/>
    <hyperlink ref="S294" r:id="rId423" xr:uid="{A09DC785-7340-4D17-A759-F4ABB24F14E3}"/>
    <hyperlink ref="L132" r:id="rId424" xr:uid="{9F38BC9A-260E-473B-9B81-7436B2052810}"/>
    <hyperlink ref="L133" r:id="rId425" xr:uid="{8D2393F4-2C5E-4C2B-8147-D77FE8836766}"/>
    <hyperlink ref="J294" r:id="rId426" xr:uid="{DA57B3D3-7511-4EB6-9B06-24C0748447A3}"/>
    <hyperlink ref="S255" r:id="rId427" xr:uid="{28346767-6A16-464C-8764-7542C44F30AF}"/>
    <hyperlink ref="L152" r:id="rId428" xr:uid="{65D27C1C-2119-467C-BC39-BBA0999D9FD0}"/>
    <hyperlink ref="L153" r:id="rId429" xr:uid="{6A669DF3-CA31-48DF-934E-977E7B97D030}"/>
    <hyperlink ref="L135" r:id="rId430" xr:uid="{A5751E03-1E45-4B27-8E0A-14E5802BCA80}"/>
    <hyperlink ref="L136" r:id="rId431" xr:uid="{4779B901-03EF-4A47-B5E7-0DCD9D503052}"/>
    <hyperlink ref="S250" r:id="rId432" xr:uid="{CD03599F-14C7-4CEB-8909-1C3877026F61}"/>
    <hyperlink ref="S242" r:id="rId433" xr:uid="{5E296986-88C1-40E1-AC39-B4306F578751}"/>
    <hyperlink ref="S280" r:id="rId434" xr:uid="{D8C757C0-BFEB-4B9E-8323-2FCAA389AFED}"/>
    <hyperlink ref="S164" r:id="rId435" xr:uid="{C7709525-FDB6-4C0F-8A62-666B115372AA}"/>
    <hyperlink ref="S199" r:id="rId436" xr:uid="{2C624B2E-FAC7-4BB4-B965-7B651B44AB87}"/>
    <hyperlink ref="S209" r:id="rId437" xr:uid="{D01B80EE-DD06-4611-BF22-1317E85D6FD9}"/>
    <hyperlink ref="S230" r:id="rId438" xr:uid="{AB16CCBC-701D-4BE8-A23A-C08931C6E798}"/>
    <hyperlink ref="S203" r:id="rId439" xr:uid="{752595B0-7D0B-447C-8DFA-A580AA8FC34E}"/>
    <hyperlink ref="J523" r:id="rId440" xr:uid="{415B34A8-41AA-420E-9379-7275ADA85684}"/>
    <hyperlink ref="J524" r:id="rId441" xr:uid="{0B107B56-0921-4C15-AEDE-B18557F3EBFA}"/>
    <hyperlink ref="J12" r:id="rId442" xr:uid="{B0075EAD-91A8-4BB2-8E86-72333E3AA173}"/>
    <hyperlink ref="J16" r:id="rId443" xr:uid="{B142C569-81C5-4EBB-AEB8-A09C755842D0}"/>
    <hyperlink ref="J393" r:id="rId444" xr:uid="{C7EABA07-5DFD-4FCB-AD05-D2B9156AD669}"/>
    <hyperlink ref="J271" r:id="rId445" xr:uid="{8378CCB6-9C00-415B-B979-9CB2CF0C1233}"/>
    <hyperlink ref="J272" r:id="rId446" xr:uid="{2D72A498-4D4D-422D-93B1-52CA82D812CF}"/>
    <hyperlink ref="S278" r:id="rId447" xr:uid="{BD22E4DF-80DE-4C1D-8FD0-1CF8F8F964B7}"/>
    <hyperlink ref="S279" r:id="rId448" xr:uid="{236B2293-B0CA-450D-BC6B-91FDD19F2FFD}"/>
    <hyperlink ref="J278" r:id="rId449" xr:uid="{E61020E7-114D-4B1F-BE30-B85F4F7423E6}"/>
    <hyperlink ref="J279" r:id="rId450" xr:uid="{F674D27B-587F-4635-9FC1-B063284F4940}"/>
    <hyperlink ref="J269" r:id="rId451" xr:uid="{50873E5C-3B87-4B78-89DA-3EEC5B0A8A4F}"/>
    <hyperlink ref="J270" r:id="rId452" xr:uid="{C4AED516-C2ED-4B91-9C9C-A8C63CD8B4E5}"/>
    <hyperlink ref="S211" r:id="rId453" xr:uid="{B64B3E20-17B6-4FD2-8AD0-984BF672B46E}"/>
    <hyperlink ref="S169" r:id="rId454" xr:uid="{DCB19263-A376-47B0-A7C9-66F87A037D71}"/>
    <hyperlink ref="S293" r:id="rId455" xr:uid="{A3AE8A57-BABC-4F7C-9B8E-64FAE6B998D0}"/>
    <hyperlink ref="J293" r:id="rId456" xr:uid="{4ADBBC0D-C1C3-41E9-A390-6D1472B51199}"/>
    <hyperlink ref="J28" r:id="rId457" xr:uid="{10A55641-60C9-4943-BAB6-06F4045249F3}"/>
    <hyperlink ref="J30" r:id="rId458" xr:uid="{BF3550BF-BE61-4CEC-945D-298834D6BC87}"/>
    <hyperlink ref="S94" r:id="rId459" xr:uid="{F309493A-0AF3-4BD2-A9EA-9F5D79840B4E}"/>
    <hyperlink ref="S385" r:id="rId460" xr:uid="{FE45F1D2-3A6D-44D8-A62A-8D0B49B045EE}"/>
    <hyperlink ref="S386" r:id="rId461" xr:uid="{BCA32040-8B92-45BD-B03D-A95ABC7D9C6D}"/>
    <hyperlink ref="S25" r:id="rId462" xr:uid="{A34026F6-5862-40E3-9CED-5CD28F4B33D0}"/>
    <hyperlink ref="S26" r:id="rId463" xr:uid="{850C6154-A38C-4C79-88E6-A332ABBFEDED}"/>
    <hyperlink ref="S27" r:id="rId464" xr:uid="{10F7BDC4-8DEE-4CFE-A139-6EBACF9DDDC1}"/>
    <hyperlink ref="S18" r:id="rId465" xr:uid="{2537ED41-6B21-4CC7-A8F9-C78954D157F7}"/>
    <hyperlink ref="S392" r:id="rId466" xr:uid="{A6DD7ABA-7BE0-4D51-8133-BBB505B6BE09}"/>
    <hyperlink ref="S393" r:id="rId467" xr:uid="{AFB91FB6-19C8-49AC-9693-3B802D93077E}"/>
    <hyperlink ref="S394" r:id="rId468" xr:uid="{3756519A-97AB-4DD0-AD44-9D234455ACBE}"/>
    <hyperlink ref="S360" r:id="rId469" xr:uid="{6C0ACA3B-7624-43D2-B678-BAB5720B4E09}"/>
    <hyperlink ref="S395" r:id="rId470" xr:uid="{1CF318CC-DEDD-470D-B1B6-3473B1F12980}"/>
    <hyperlink ref="S361" r:id="rId471" xr:uid="{C2BAF89E-6A6C-46A6-82DA-AB8ECF09D867}"/>
    <hyperlink ref="S362" r:id="rId472" xr:uid="{6FC7E594-3495-46BE-8A54-31E90276B047}"/>
    <hyperlink ref="S368" r:id="rId473" xr:uid="{7CA0E2FE-F404-421E-A333-F835DE9B719B}"/>
    <hyperlink ref="S369" r:id="rId474" xr:uid="{8C328427-82AC-43A0-9662-6D553B2D6835}"/>
    <hyperlink ref="S358" r:id="rId475" xr:uid="{6B4C0176-0B29-410D-9DF4-5068F7565EC2}"/>
    <hyperlink ref="S359" r:id="rId476" xr:uid="{B71092A6-944A-4929-B1C4-32AC70166B54}"/>
    <hyperlink ref="S375" r:id="rId477" xr:uid="{6334580C-4D27-4AC5-98ED-C588082A8EEF}"/>
    <hyperlink ref="S335" r:id="rId478" xr:uid="{7F77F93C-BD0A-44E4-AB1F-CC5D3D3584FD}"/>
    <hyperlink ref="S336" r:id="rId479" xr:uid="{4EBAA172-52CC-436B-847E-92EEC5208FD4}"/>
    <hyperlink ref="S301" r:id="rId480" xr:uid="{BE1CDE3A-626B-4C9B-ACA3-0DB4ECB29B87}"/>
    <hyperlink ref="S302" r:id="rId481" xr:uid="{5DBCCFA4-32A3-49B5-9262-E62EED8D92A5}"/>
    <hyperlink ref="S341" r:id="rId482" xr:uid="{53CCC1A3-A07E-4911-BD26-1084390F519D}"/>
    <hyperlink ref="S329" r:id="rId483" xr:uid="{F52C62BF-EB44-4EB9-846E-4559B603C025}"/>
    <hyperlink ref="S33" r:id="rId484" xr:uid="{8FBA14EC-B532-47BB-8372-3E9B420C17F5}"/>
    <hyperlink ref="S12" r:id="rId485" xr:uid="{67C27315-029D-4AE7-904A-600D1D5DD1BA}"/>
    <hyperlink ref="S46" r:id="rId486" xr:uid="{56472FC7-5345-4EC9-86FD-6C8DEBE3D15E}"/>
    <hyperlink ref="S370" r:id="rId487" xr:uid="{706DEE17-6A4A-4225-A157-E07C031361DD}"/>
    <hyperlink ref="S16" r:id="rId488" xr:uid="{3321D854-A925-4015-8013-1A7FC6107AE9}"/>
    <hyperlink ref="S17" r:id="rId489" xr:uid="{DF75C6EE-8CC0-41B9-A65F-0EAD045612BA}"/>
    <hyperlink ref="S41" r:id="rId490" xr:uid="{F5AAA591-A18D-479D-A681-803F9D54DC15}"/>
    <hyperlink ref="S42" r:id="rId491" xr:uid="{D5263662-7F50-4016-91C1-A2C201BDE67A}"/>
    <hyperlink ref="S43" r:id="rId492" xr:uid="{73ADF6D6-2C28-497E-B691-C78C17D88DA4}"/>
    <hyperlink ref="S44" r:id="rId493" xr:uid="{E63F5BCC-36D2-4F4D-88E8-EA7779019232}"/>
    <hyperlink ref="S95" r:id="rId494" xr:uid="{CF420FC5-9717-481E-8776-94FA75D9380E}"/>
    <hyperlink ref="S425" r:id="rId495" xr:uid="{C331E607-39AD-4C53-B935-790ECCF60770}"/>
    <hyperlink ref="S387" r:id="rId496" xr:uid="{3F43C27A-B31D-4166-BA64-7BB4FC6074C4}"/>
    <hyperlink ref="S103" r:id="rId497" xr:uid="{611A35AD-BAC6-4936-802A-511CF42FF274}"/>
    <hyperlink ref="S86" r:id="rId498" xr:uid="{CA6BF1BA-8410-4674-8AD6-B83E827A0336}"/>
    <hyperlink ref="S65" r:id="rId499" xr:uid="{D264B997-7375-4279-BD7E-09FA14620D88}"/>
    <hyperlink ref="S101" r:id="rId500" xr:uid="{DB9EA763-3629-4EF4-BC4E-575BBC1FA47A}"/>
    <hyperlink ref="S83" r:id="rId501" xr:uid="{9BA078E3-60B8-4FFE-A3F6-9C74812ABF28}"/>
    <hyperlink ref="S74" r:id="rId502" xr:uid="{BC1C42A4-436E-41B9-A2B5-3BAF6BE032D0}"/>
    <hyperlink ref="S68" r:id="rId503" xr:uid="{140A8491-79C0-4548-86A7-2D5E84FE3429}"/>
    <hyperlink ref="S261" r:id="rId504" xr:uid="{5C048B2E-EDBD-44DC-A121-F35AD45683BE}"/>
    <hyperlink ref="S71" r:id="rId505" xr:uid="{2B66AF19-2090-4798-ADC8-A4FDF4B169F2}"/>
    <hyperlink ref="S152" r:id="rId506" xr:uid="{CD065004-7E42-452F-AB60-94560C424D62}"/>
    <hyperlink ref="S132" r:id="rId507" xr:uid="{615ED81D-30AE-4D29-9B13-CEB771B557FF}"/>
    <hyperlink ref="S155" r:id="rId508" xr:uid="{BFC4DC54-17F9-4498-84D4-3331DF0DFF1A}"/>
    <hyperlink ref="S156" r:id="rId509" xr:uid="{676AAA34-084D-4D99-BF18-C1714030FC06}"/>
    <hyperlink ref="S77" r:id="rId510" xr:uid="{7503C1CA-4B61-44C7-8601-F685484B1A72}"/>
    <hyperlink ref="S138" r:id="rId511" xr:uid="{73FABF26-C1FB-4EFC-9B62-F431E6661AF9}"/>
    <hyperlink ref="S141" r:id="rId512" xr:uid="{A913D71F-D4C2-41F2-B6B0-1FF1744AD003}"/>
    <hyperlink ref="S127" r:id="rId513" xr:uid="{EB04C922-DFDE-4CF9-9FE1-B949A5789298}"/>
    <hyperlink ref="S135" r:id="rId514" xr:uid="{2E787674-03A9-4AAB-B19B-1C0508487DB9}"/>
    <hyperlink ref="S28" r:id="rId515" xr:uid="{B6AC1284-534C-4390-AF98-FFF5A712B5D6}"/>
    <hyperlink ref="S419" r:id="rId516" xr:uid="{088355F7-20A9-4A7B-9E9E-610A82336FF7}"/>
    <hyperlink ref="S35" r:id="rId517" xr:uid="{17B12F57-5651-4255-9E01-0C9C0D1C2494}"/>
    <hyperlink ref="S403" r:id="rId518" xr:uid="{15F15DD8-BB3D-487E-A72F-C3E772E704CC}"/>
    <hyperlink ref="S363" r:id="rId519" xr:uid="{5F5DDD7C-D113-4C4F-A410-737BCD5FAC1E}"/>
    <hyperlink ref="S376" r:id="rId520" xr:uid="{3887E9BB-43B1-4497-8A14-29CA3B94325F}"/>
    <hyperlink ref="S380" r:id="rId521" xr:uid="{23301FB1-17F3-4A8D-9BA2-27AC11A12C86}"/>
    <hyperlink ref="S342" r:id="rId522" xr:uid="{FA36C584-3CE1-4A0C-B6B3-212573F7ED71}"/>
    <hyperlink ref="S414" r:id="rId523" xr:uid="{BFE4E2F7-0414-4840-A2A8-4C6882863E7D}"/>
    <hyperlink ref="S92" r:id="rId524" xr:uid="{65839B16-CCE8-4CF4-892F-1024F9E3089C}"/>
    <hyperlink ref="S304" r:id="rId525" xr:uid="{DB837CC1-9283-4151-99B5-9EB6F8F34FBE}"/>
    <hyperlink ref="S431" r:id="rId526" xr:uid="{EC55D316-7704-4C49-8F04-D32705DB6269}"/>
    <hyperlink ref="S56" r:id="rId527" xr:uid="{35251930-7BC2-4257-8456-19283EC8A35C}"/>
    <hyperlink ref="S346" r:id="rId528" xr:uid="{984E6E62-A123-4AB9-AA40-0210F8F1C501}"/>
    <hyperlink ref="S60" r:id="rId529" xr:uid="{00F7E727-A40D-4255-9973-64DAB3AFC4D5}"/>
    <hyperlink ref="S80" r:id="rId530" xr:uid="{AE08D34A-717C-4582-AF0D-2F232DE12C68}"/>
    <hyperlink ref="S96" r:id="rId531" xr:uid="{00870F30-5242-4331-B50E-55E8ECAB059F}"/>
    <hyperlink ref="S97" r:id="rId532" xr:uid="{30696B40-2D38-46E3-B37D-300A6BD0D550}"/>
    <hyperlink ref="S426" r:id="rId533" xr:uid="{42914F2D-5145-48E1-90C4-58D15145F8C3}"/>
    <hyperlink ref="S427" r:id="rId534" xr:uid="{20B95EC5-FE72-4379-82AA-AB1F61634BE3}"/>
    <hyperlink ref="S428" r:id="rId535" xr:uid="{EF24D92C-AEFE-4E30-B1B9-EABFDC72BFE5}"/>
    <hyperlink ref="S388" r:id="rId536" xr:uid="{BFC9D8B2-E758-44E3-82B3-46F3C77A7B16}"/>
    <hyperlink ref="S81" r:id="rId537" xr:uid="{7ACF8C5B-5A38-4418-8F05-26DAE0C6E24B}"/>
    <hyperlink ref="S323" r:id="rId538" xr:uid="{B131ADE8-5427-4F54-83C8-F0BF6D5B4706}"/>
    <hyperlink ref="S322" r:id="rId539" xr:uid="{FB2A1B13-B761-431E-9006-59645AAD3580}"/>
    <hyperlink ref="S321" r:id="rId540" xr:uid="{CA0D8004-BD85-47E6-95BC-9248E30DD72A}"/>
    <hyperlink ref="S397" r:id="rId541" xr:uid="{95B4D6FE-7AD4-4F04-8910-9F267DBAC4DD}"/>
    <hyperlink ref="S396" r:id="rId542" xr:uid="{E334E275-E5D7-4406-9016-C680FBDFF88F}"/>
    <hyperlink ref="S410" r:id="rId543" xr:uid="{959F0B67-6E1D-4223-8C7C-841653821412}"/>
    <hyperlink ref="S409" r:id="rId544" xr:uid="{E2A22F5E-CD3B-406E-B065-AD7C0DE16E10}"/>
    <hyperlink ref="S62" r:id="rId545" xr:uid="{911C55B1-0A00-46D0-9BD6-6AB42A4B26E8}"/>
    <hyperlink ref="S389" r:id="rId546" xr:uid="{A34E277C-DFBA-432B-BA2A-38403358950B}"/>
    <hyperlink ref="S104" r:id="rId547" xr:uid="{95F82F12-3922-4950-9336-F6A3A93B5528}"/>
    <hyperlink ref="S105" r:id="rId548" xr:uid="{0B31E7C6-F680-474E-A086-E8358E449CFA}"/>
    <hyperlink ref="S54" r:id="rId549" xr:uid="{BE6B431D-5BD4-493A-AEA3-7EBD3A412DB0}"/>
    <hyperlink ref="S87" r:id="rId550" xr:uid="{025E3D30-2CE0-42ED-8F76-93E5D7226279}"/>
    <hyperlink ref="S66" r:id="rId551" xr:uid="{FBE43619-89BC-4F4B-BB11-6D16DB46BBDD}"/>
    <hyperlink ref="S84" r:id="rId552" xr:uid="{CDFEE949-ACA8-4669-9F89-07F60C995DF3}"/>
    <hyperlink ref="S75" r:id="rId553" xr:uid="{956193EE-4AEA-40A2-BBB1-90113CFEAC1A}"/>
    <hyperlink ref="S69" r:id="rId554" xr:uid="{9B324B62-1692-41CE-8BF1-DAC06627C302}"/>
    <hyperlink ref="S264" r:id="rId555" xr:uid="{7925A8E4-9735-4EEB-B6E9-CBF46A46131A}"/>
    <hyperlink ref="S262" r:id="rId556" xr:uid="{D606C599-870A-4F8A-8705-2657836BB704}"/>
    <hyperlink ref="S72" r:id="rId557" xr:uid="{8C5B551D-04E6-477A-A50E-BD4665227A9B}"/>
    <hyperlink ref="S153" r:id="rId558" xr:uid="{56EA4551-AD36-4675-B977-45B133BE081F}"/>
    <hyperlink ref="S133" r:id="rId559" xr:uid="{C89D2D2E-9564-4D80-ACD4-3E9FD45EEE78}"/>
    <hyperlink ref="S511" r:id="rId560" xr:uid="{31036BCA-225E-4EE2-89AA-19F191BD659D}"/>
    <hyperlink ref="S512" r:id="rId561" xr:uid="{778E58D9-0FF2-4434-B126-FE0EF32F3BDC}"/>
    <hyperlink ref="S516" r:id="rId562" xr:uid="{07409052-D237-4E3F-9AB8-C59B2491621B}"/>
    <hyperlink ref="S78" r:id="rId563" xr:uid="{F250E0CD-DB65-4635-9E0D-0ADB45EF0327}"/>
    <hyperlink ref="S139" r:id="rId564" xr:uid="{DC5BC6E5-1AA8-4399-A48D-3C1C557C5692}"/>
    <hyperlink ref="S142" r:id="rId565" xr:uid="{2F70310F-9B60-45A6-9DAA-9A9EAE9FE51E}"/>
    <hyperlink ref="S110" r:id="rId566" xr:uid="{EDFD2D9A-CE66-44B2-960C-BB0A190503B5}"/>
    <hyperlink ref="S128" r:id="rId567" xr:uid="{15F07F27-4A7E-485B-ADBA-4EE30E6F620C}"/>
    <hyperlink ref="S136" r:id="rId568" xr:uid="{4FF15B86-DFCE-472C-9353-1B00219BC61F}"/>
    <hyperlink ref="S130" r:id="rId569" xr:uid="{4CA88F39-21FE-4BD0-971D-8D09E3A38600}"/>
    <hyperlink ref="S29" r:id="rId570" xr:uid="{B1962CC5-A5C4-419D-B166-E631CFE94412}"/>
    <hyperlink ref="S30" r:id="rId571" xr:uid="{E64B1A01-2FFC-4E66-9037-074D819C363E}"/>
    <hyperlink ref="S20" r:id="rId572" xr:uid="{750589BB-B59C-467F-A4FA-92303CA079FD}"/>
    <hyperlink ref="S21" r:id="rId573" xr:uid="{2F1A96FE-5341-400B-9CBA-F076BBB83DFD}"/>
    <hyperlink ref="S22" r:id="rId574" xr:uid="{76F22A7F-422F-46EE-A3BE-AE63E03CA918}"/>
    <hyperlink ref="S23" r:id="rId575" xr:uid="{3B0545CF-CC3D-4C21-971A-89BA5F5C7842}"/>
    <hyperlink ref="S420" r:id="rId576" xr:uid="{B3C298F4-778C-41A4-B10D-54DEA5E8435B}"/>
    <hyperlink ref="S421" r:id="rId577" xr:uid="{4E9F0186-7877-4F84-ABEA-CFFF5A5A8AA8}"/>
    <hyperlink ref="S422" r:id="rId578" xr:uid="{CDB5456E-459E-4906-9441-91EF7208DD4E}"/>
    <hyperlink ref="S423" r:id="rId579" xr:uid="{84CF83E1-79DA-472D-A082-9FCD7838740A}"/>
    <hyperlink ref="S36" r:id="rId580" xr:uid="{D98F8F7F-8467-4D83-A145-6A8B00DA35DF}"/>
    <hyperlink ref="S37" r:id="rId581" xr:uid="{A016CEAB-375F-406F-991B-DFE38A606C4E}"/>
    <hyperlink ref="S38" r:id="rId582" xr:uid="{317F3494-B3E5-4939-B4D3-068A607F19FD}"/>
    <hyperlink ref="S39" r:id="rId583" xr:uid="{A864C5C1-E2C0-41CD-B5F7-D6416F3A3AD6}"/>
    <hyperlink ref="S40" r:id="rId584" xr:uid="{AAAFD56A-09DF-4262-9B91-16493148274A}"/>
    <hyperlink ref="S404" r:id="rId585" xr:uid="{EEDA2BE2-8B78-44AC-9874-BE711405F15A}"/>
    <hyperlink ref="S405" r:id="rId586" xr:uid="{9024EFE1-7DFD-4DBA-9140-70E941F3E7D6}"/>
    <hyperlink ref="S406" r:id="rId587" xr:uid="{26ADD9DA-6DE2-416F-BAE9-CCBDCE24E3AB}"/>
    <hyperlink ref="S364" r:id="rId588" xr:uid="{6DB620FC-784C-4577-9A9E-9F461C2F25AE}"/>
    <hyperlink ref="S365" r:id="rId589" xr:uid="{3FA5509C-4220-48FF-915C-BF923CBEC02A}"/>
    <hyperlink ref="S337" r:id="rId590" xr:uid="{E62E4526-F20B-4600-AF2C-317D465D5EB7}"/>
    <hyperlink ref="S338" r:id="rId591" xr:uid="{56436453-FB7F-4372-8B48-6BF3AA57E9DA}"/>
    <hyperlink ref="S10" r:id="rId592" xr:uid="{FEE0A09F-D6A3-4036-86C7-5827101693D2}"/>
    <hyperlink ref="S11" r:id="rId593" xr:uid="{E94B8088-1266-4D11-B4D8-FEB15D73464C}"/>
    <hyperlink ref="S377" r:id="rId594" xr:uid="{4E3CC66D-AB81-468C-8F39-6D4F75F53F83}"/>
    <hyperlink ref="S378" r:id="rId595" xr:uid="{D5925461-E0FA-4AF3-8D76-D7F79A24F2C1}"/>
    <hyperlink ref="S379" r:id="rId596" xr:uid="{99422435-7E44-4D0D-968B-77B06982D6B2}"/>
    <hyperlink ref="S381" r:id="rId597" xr:uid="{111F09C3-1551-4FFB-8529-A232122D2B21}"/>
    <hyperlink ref="S382" r:id="rId598" xr:uid="{123785FB-6C56-400A-901B-4255765FB3BC}"/>
    <hyperlink ref="S383" r:id="rId599" xr:uid="{6311940E-A432-46EA-9C7B-A1B2ABBFB1B9}"/>
    <hyperlink ref="S461" r:id="rId600" xr:uid="{5990354C-937F-46B0-AA8B-F5CEEF6B34BF}"/>
    <hyperlink ref="S462" r:id="rId601" xr:uid="{147FC66D-0DD4-494C-BD30-34949EFCB50F}"/>
    <hyperlink ref="S463" r:id="rId602" xr:uid="{22CE997D-DD64-45BC-8107-03E8F2C786FA}"/>
    <hyperlink ref="S464" r:id="rId603" xr:uid="{41D74EF3-A333-4CE3-A3B3-E6D0E24FE392}"/>
    <hyperlink ref="S343" r:id="rId604" xr:uid="{265D2194-F96E-40F2-91BE-AB75EA1C12AA}"/>
    <hyperlink ref="S344" r:id="rId605" xr:uid="{48194F92-1255-40C2-AB12-1B878931D46E}"/>
    <hyperlink ref="S345" r:id="rId606" xr:uid="{D3C82BE6-75E5-44EE-BAF1-147BB272F7D5}"/>
    <hyperlink ref="S449" r:id="rId607" xr:uid="{790842D2-A836-42D8-B124-5B8C94310F00}"/>
    <hyperlink ref="S450" r:id="rId608" xr:uid="{AAB189CE-FC06-4ABA-9B06-0904B91FD072}"/>
    <hyperlink ref="S470" r:id="rId609" xr:uid="{F8022B10-DE3F-40E1-BA07-8511855D99EF}"/>
    <hyperlink ref="S471" r:id="rId610" xr:uid="{FBA181D6-606E-499C-A4FB-F8FCF6C4B082}"/>
    <hyperlink ref="S472" r:id="rId611" xr:uid="{B585DB25-AE37-443E-A258-B9FF6E8A61DB}"/>
    <hyperlink ref="S473" r:id="rId612" xr:uid="{F57DF13D-FBDD-4383-87A4-82781AA384E4}"/>
    <hyperlink ref="S429" r:id="rId613" xr:uid="{3B751B38-FC5C-4C49-9DF7-5CC74760222F}"/>
    <hyperlink ref="S430" r:id="rId614" xr:uid="{427009DD-23D8-44C1-996F-6D2779E189DA}"/>
    <hyperlink ref="S331" r:id="rId615" xr:uid="{CD6F2EA6-1B9A-4694-99D0-25612B0DA47A}"/>
    <hyperlink ref="S332" r:id="rId616" xr:uid="{489DDE3E-529A-4099-92F2-71D63C1F9521}"/>
    <hyperlink ref="S333" r:id="rId617" xr:uid="{876D9C08-BD20-41B0-B9D4-7A722388DF51}"/>
    <hyperlink ref="S334" r:id="rId618" xr:uid="{ECAC38C6-F9EA-4950-8EE1-1595C1EEB0E5}"/>
    <hyperlink ref="S415" r:id="rId619" xr:uid="{97D39F83-305F-4C8E-AAA4-C2350827B5D4}"/>
    <hyperlink ref="S416" r:id="rId620" xr:uid="{9203B713-252E-49C1-BAAA-DEA99178829E}"/>
    <hyperlink ref="S417" r:id="rId621" xr:uid="{71BB3978-D6A3-4377-8F4F-BE9FA070558C}"/>
    <hyperlink ref="S438" r:id="rId622" xr:uid="{F6374B94-FBDE-4CED-94BD-4E34F0599867}"/>
    <hyperlink ref="S439" r:id="rId623" xr:uid="{3A4D8BA7-833A-427F-B751-59579B72FA12}"/>
    <hyperlink ref="S440" r:id="rId624" xr:uid="{D2D51D7B-5AA3-41DE-A7DB-8EF2983BADB0}"/>
    <hyperlink ref="S93" r:id="rId625" xr:uid="{6B7305F8-6E6D-42D4-A641-FBB088437EB7}"/>
    <hyperlink ref="S455" r:id="rId626" xr:uid="{B3AC0B74-FAD9-4881-94B4-5210877610C8}"/>
    <hyperlink ref="S305" r:id="rId627" xr:uid="{798E437A-658C-4061-B3D6-39EC521378B2}"/>
    <hyperlink ref="S306" r:id="rId628" xr:uid="{BA338EFA-356D-4ED8-9E4A-12DD132A7B72}"/>
    <hyperlink ref="S307" r:id="rId629" xr:uid="{D03843A8-9215-4AD7-895E-A559AB64F3B7}"/>
    <hyperlink ref="S308" r:id="rId630" xr:uid="{DDE38624-37E2-420E-B68A-DA14007D6A32}"/>
    <hyperlink ref="S309" r:id="rId631" xr:uid="{0C7789CA-BEDA-409B-A106-CDCC9E41A3A0}"/>
    <hyperlink ref="S310" r:id="rId632" xr:uid="{2E79A8E3-A716-49AA-8EC7-92FD89B9557F}"/>
    <hyperlink ref="S493" r:id="rId633" xr:uid="{2C2410BC-AAE6-44A2-B068-EB7E8F1CAFE0}"/>
    <hyperlink ref="S432" r:id="rId634" xr:uid="{D6D42E2D-951E-470D-9269-A0943C5E885D}"/>
    <hyperlink ref="S433" r:id="rId635" xr:uid="{8878B5E9-008A-4D1B-8E90-FFA239246F25}"/>
    <hyperlink ref="S371" r:id="rId636" xr:uid="{F7339CAC-3084-48CE-8403-CC7AEE3D5564}"/>
    <hyperlink ref="S372" r:id="rId637" xr:uid="{CBEDFA27-F150-409C-8BDA-237995900507}"/>
    <hyperlink ref="S57" r:id="rId638" xr:uid="{DCD4F221-AB48-4CC0-B15D-21069D83665A}"/>
    <hyperlink ref="S58" r:id="rId639" xr:uid="{5C2F5BAC-B980-4944-9693-4AA84214136E}"/>
    <hyperlink ref="S347" r:id="rId640" xr:uid="{2FC20C63-C7FD-4D5B-8A65-52309540A0AE}"/>
    <hyperlink ref="S348" r:id="rId641" xr:uid="{1E81B018-274B-4A02-BB54-7813BAFCCFE2}"/>
    <hyperlink ref="S349" r:id="rId642" xr:uid="{D2777394-A37C-4E23-B7D3-288133478241}"/>
    <hyperlink ref="S350" r:id="rId643" xr:uid="{A711BD7D-A27F-4AF7-A32B-4B24767384BF}"/>
    <hyperlink ref="S61" r:id="rId644" xr:uid="{32AB2610-05D1-4310-B9A0-F4715CB20342}"/>
    <hyperlink ref="S482" r:id="rId645" xr:uid="{21D6B94A-8976-4B57-985B-78A1FFC97721}"/>
    <hyperlink ref="S522" r:id="rId646" xr:uid="{56ABFC5B-2E84-4714-9D2A-D1A14EE1242D}"/>
    <hyperlink ref="L117" r:id="rId647" xr:uid="{D2CF1AF6-34AE-4355-80BC-74C6FAFABBBB}"/>
    <hyperlink ref="L118" r:id="rId648" xr:uid="{8BFB5198-1EDB-4117-A0AD-6BCC5009ED31}"/>
    <hyperlink ref="J75" r:id="rId649" xr:uid="{6FB9EF3D-00B5-4FDE-AF41-89079D17FD5D}"/>
    <hyperlink ref="J238" r:id="rId650" xr:uid="{CFFCE59B-C4B9-4271-985C-BA73571E5805}"/>
    <hyperlink ref="J236" r:id="rId651" xr:uid="{144D3988-4FAA-4AF2-A08D-C020B3DCEF51}"/>
    <hyperlink ref="N237" r:id="rId652" xr:uid="{53C3BA94-6A4E-46CF-B9CB-1CF28EC8183D}"/>
    <hyperlink ref="N237:N239" r:id="rId653" display="ADH8412S DD " xr:uid="{73E8C382-D0D4-4F9F-9BBE-2FEE4B3DF1D1}"/>
    <hyperlink ref="N239" r:id="rId654" xr:uid="{66891976-E5E5-416F-AB25-19E7E69B51F3}"/>
    <hyperlink ref="N236" r:id="rId655" xr:uid="{F6061CA6-9082-4B5B-B5E2-90D02BF2F463}"/>
    <hyperlink ref="N238" r:id="rId656" xr:uid="{F0F0184E-F027-42D7-B1B8-FEE31777AC64}"/>
    <hyperlink ref="L269" r:id="rId657" xr:uid="{2066C9A3-4BBE-4056-99AD-CF35B6B4BB31}"/>
    <hyperlink ref="L270" r:id="rId658" xr:uid="{B454BDBF-DC3D-469F-9812-DF038D2F08F5}"/>
    <hyperlink ref="L271" r:id="rId659" xr:uid="{1A02278A-F998-4BF4-9683-B062E0E664F2}"/>
    <hyperlink ref="L272" r:id="rId660" xr:uid="{1ABBFEF8-F246-46F4-A0BE-3580684DB3A6}"/>
    <hyperlink ref="L292" r:id="rId661" xr:uid="{C919B8A0-228D-4AC4-B21D-BCE44E160FE0}"/>
    <hyperlink ref="L293" r:id="rId662" xr:uid="{2F22CE5B-1B00-4220-9359-B6E1F8AC4830}"/>
    <hyperlink ref="L294" r:id="rId663" xr:uid="{39573036-90FD-44BD-8B19-10A6D2888086}"/>
    <hyperlink ref="L278" r:id="rId664" xr:uid="{802AB671-7BF0-455D-A898-72D8F3D5DD88}"/>
    <hyperlink ref="L279" r:id="rId665" xr:uid="{9518C26B-F2F8-478A-8068-55ACEFDBF431}"/>
    <hyperlink ref="S536" r:id="rId666" xr:uid="{6C091E81-F6D9-4DD9-B9B5-DA45C0FAC172}"/>
    <hyperlink ref="J17" r:id="rId667" xr:uid="{93CE5F28-6C63-46CC-8A12-C4548557C5CC}"/>
    <hyperlink ref="J13" r:id="rId668" xr:uid="{D26B393D-CE11-4FB3-8F9F-4707215AD798}"/>
    <hyperlink ref="J330" r:id="rId669" xr:uid="{5AD436CE-5B83-4F6F-A055-2484AA2EC8E0}"/>
    <hyperlink ref="J47" r:id="rId670" xr:uid="{76697DEF-5442-4E53-9445-4C08CFAE317A}"/>
    <hyperlink ref="J311" r:id="rId671" xr:uid="{8C7DBC00-F272-41DA-AC4E-59B7F5238A1B}"/>
    <hyperlink ref="J327" r:id="rId672" xr:uid="{95552AC4-01DB-4B3F-A499-CC7F416FC52C}"/>
    <hyperlink ref="J303" r:id="rId673" xr:uid="{72EBA477-9A21-4D80-A8AA-ED91363BE111}"/>
    <hyperlink ref="J302" r:id="rId674" xr:uid="{F2675F08-881A-4BBD-ABD7-9D53BF271BE1}"/>
    <hyperlink ref="J301" r:id="rId675" xr:uid="{73C617D7-FE5F-4490-AE9C-D1A41507C3F2}"/>
    <hyperlink ref="J18" r:id="rId676" xr:uid="{1EBC5E19-C3D6-4FB3-9743-4E9CDD4CF005}"/>
    <hyperlink ref="J19" r:id="rId677" xr:uid="{C110D6C7-B4CA-40F2-AA15-6217FC2EDB66}"/>
    <hyperlink ref="J25" r:id="rId678" xr:uid="{DBD14B9A-F8BC-4689-B134-802FEDB600B9}"/>
    <hyperlink ref="J26" r:id="rId679" xr:uid="{EAB5B49A-8DB7-400A-B510-85F52CAAE0EB}"/>
    <hyperlink ref="J27" r:id="rId680" xr:uid="{FB6E6DD9-2BED-4AC4-887F-E93C9436944F}"/>
    <hyperlink ref="J43" r:id="rId681" display="https://www.analog.com/media/en/radiation-information/radiation-reports/ad648-ldr.pdf " xr:uid="{8AD80D92-C686-4FBF-823F-9FE17EF7BE65}"/>
    <hyperlink ref="J41" r:id="rId682" display="https://www.analog.com/media/en/radiation-information/radiation-reports/ad648-ldr.pdf " xr:uid="{41180467-0D5B-4941-93EF-E6239B9CF6B6}"/>
    <hyperlink ref="J44" r:id="rId683" display="https://www.analog.com/media/en/radiation-information/radiation-reports/ad648-ldr.pdf " xr:uid="{572BCB8B-727E-450A-B813-00C7AD6A2860}"/>
    <hyperlink ref="J42" r:id="rId684" display="https://www.analog.com/media/en/radiation-information/radiation-reports/ad648-ldr.pdf " xr:uid="{C5EC1866-759D-4FEC-BE64-AEC32048DF95}"/>
    <hyperlink ref="J94" r:id="rId685" display="AD8561S HDR generic.xls (analog.com)" xr:uid="{FD917117-4D8D-4948-AA2E-5FE9677FC7F8}"/>
    <hyperlink ref="J355" r:id="rId686" display="https://www.analog.com/media/en/radiation-information/radiation-reports/OP27S_HDR_generic.pdf" xr:uid="{ECF61E97-E947-434D-8772-5338CD5FA4DC}"/>
    <hyperlink ref="N355" r:id="rId687" display="OP27S_DD.xlsx (analog.com)" xr:uid="{B0BC1E29-533B-47A7-9535-3D33CC676CC2}"/>
    <hyperlink ref="J359" r:id="rId688" xr:uid="{0E6F98E3-9102-4ED5-B977-D2CDDA864032}"/>
    <hyperlink ref="J358" r:id="rId689" xr:uid="{5EB53F7F-F37B-4DE6-96CD-2D550904BBC9}"/>
    <hyperlink ref="J360" r:id="rId690" xr:uid="{1B49CFE1-464B-4BE3-8AE9-46D45F981BD8}"/>
    <hyperlink ref="J365" r:id="rId691" xr:uid="{FDF54B82-5CF6-4E59-9BA4-FE57C306F660}"/>
    <hyperlink ref="J364" r:id="rId692" xr:uid="{203DF672-019C-4E41-9664-81C6B6D5F70B}"/>
    <hyperlink ref="J361" r:id="rId693" xr:uid="{340055B7-EDB4-4F30-ACA6-8ED25BE53572}"/>
    <hyperlink ref="J362" r:id="rId694" xr:uid="{2CB6A155-42C0-4803-973C-3C060BDF584E}"/>
    <hyperlink ref="J366" r:id="rId695" xr:uid="{F78B0915-40B7-4D98-8C29-30B0616AE006}"/>
    <hyperlink ref="J397" r:id="rId696" xr:uid="{B54B0792-422F-40B1-BE18-48DF743BD184}"/>
    <hyperlink ref="J398" r:id="rId697" xr:uid="{8288F135-76CC-4997-8746-178EB9CCFDDF}"/>
    <hyperlink ref="J396" r:id="rId698" xr:uid="{7BB25A1B-E093-4CC7-B695-F15736F3026A}"/>
    <hyperlink ref="J399" r:id="rId699" xr:uid="{FF0D8CE2-BEE1-4483-9164-7529DA617FBC}"/>
    <hyperlink ref="J400" r:id="rId700" xr:uid="{19AF8CD9-E79F-4922-BE18-1C83DB99ADD4}"/>
    <hyperlink ref="J434" r:id="rId701" xr:uid="{63C23152-B07C-46DB-9CFC-20563C8FFA08}"/>
    <hyperlink ref="J435" r:id="rId702" xr:uid="{064514AA-059B-462E-9282-5447772304E4}"/>
    <hyperlink ref="J437" r:id="rId703" xr:uid="{019A04B0-0D43-438A-9E5C-2E675DB04934}"/>
    <hyperlink ref="J432" r:id="rId704" xr:uid="{33B7CF5C-6EAC-4011-91F8-40DB529F86E6}"/>
    <hyperlink ref="J433" r:id="rId705" xr:uid="{8D70E037-DBA7-4E64-8811-69C9B044F0E2}"/>
    <hyperlink ref="J422" r:id="rId706" xr:uid="{44C4C58C-FF17-4345-80F2-C2581A941143}"/>
    <hyperlink ref="J423" r:id="rId707" xr:uid="{39167BED-A8F2-4FC2-9E2A-392B70701A02}"/>
    <hyperlink ref="J421" r:id="rId708" xr:uid="{CB6FD398-EBB6-49EA-B6D9-CC06EC8438D4}"/>
    <hyperlink ref="J424" r:id="rId709" xr:uid="{4BC4DA07-B6C0-429C-BA35-99D72D34E05D}"/>
    <hyperlink ref="J418" r:id="rId710" xr:uid="{C138D6C9-C97D-4C68-B770-F6B783D7616A}"/>
    <hyperlink ref="J416" r:id="rId711" xr:uid="{A6861652-7234-43BD-8D7B-F1CF016641E0}"/>
    <hyperlink ref="J417" r:id="rId712" xr:uid="{8CE66192-D6D7-4757-8459-BDDCD2C8B330}"/>
    <hyperlink ref="J415" r:id="rId713" xr:uid="{5D119F93-7DC6-48F5-BF38-26E303BA87DB}"/>
    <hyperlink ref="J372" r:id="rId714" xr:uid="{0CE28536-48BE-4A2A-9BF2-05D50B3E685B}"/>
    <hyperlink ref="N370" r:id="rId715" display="DDD_RH1021CMW-5_Fab_Lot_1022458_1_W13.pdf (analog.com)" xr:uid="{01B3E76F-49F6-46E6-82D6-6F7FA87FF3EC}"/>
    <hyperlink ref="J370" r:id="rId716" xr:uid="{7C746173-C68F-434B-9B73-76D75B36DD0A}"/>
    <hyperlink ref="J374" r:id="rId717" xr:uid="{D3AE4CD2-F889-4BD3-93BD-13DBEF907F93}"/>
    <hyperlink ref="J368" r:id="rId718" xr:uid="{5145C15E-A4CE-4FD6-91FD-E3A06C01A7D6}"/>
    <hyperlink ref="J369" r:id="rId719" xr:uid="{0E66E3E6-8C2A-4D9D-B24E-B8A15F5B4051}"/>
    <hyperlink ref="J282" r:id="rId720" xr:uid="{667488EB-2D24-4E71-8896-BDF75DD9A83C}"/>
    <hyperlink ref="L282" r:id="rId721" xr:uid="{222CD33E-61D4-4561-8C14-AF39847D17B1}"/>
    <hyperlink ref="J283" r:id="rId722" xr:uid="{8A86F872-EC54-425C-AD92-9553062EA4E7}"/>
    <hyperlink ref="L283" r:id="rId723" xr:uid="{832C5C38-172D-4614-BDA9-E477A849CD39}"/>
    <hyperlink ref="J284" r:id="rId724" xr:uid="{92E99856-8702-4184-B5E8-7FE1D9174153}"/>
    <hyperlink ref="J285" r:id="rId725" xr:uid="{1ECD7350-D293-45DC-B9FF-E109705DF349}"/>
    <hyperlink ref="L285" r:id="rId726" xr:uid="{C46D73B7-285D-4D8B-A9C1-99A50D6D4045}"/>
    <hyperlink ref="L284" r:id="rId727" xr:uid="{B6508475-FA65-45BA-8F17-85697BF78B31}"/>
    <hyperlink ref="J286" r:id="rId728" xr:uid="{BE7DD06F-594B-4AEF-87EE-193CAB4BFF57}"/>
    <hyperlink ref="J287" r:id="rId729" xr:uid="{D0718F60-E791-463C-9A8B-67EB04552B6C}"/>
    <hyperlink ref="L286" r:id="rId730" xr:uid="{9E4B90A5-8551-4E6B-A5E5-E0E742AACBFC}"/>
    <hyperlink ref="L287" r:id="rId731" xr:uid="{185CCE82-499E-44EB-BBEC-A0FB16ECA9A3}"/>
    <hyperlink ref="L288" r:id="rId732" xr:uid="{A9893FBB-9B37-4B67-ADAB-7BE76B6D875C}"/>
    <hyperlink ref="L289" r:id="rId733" xr:uid="{D4699449-55B1-42DD-9268-A3C9249CF2CD}"/>
    <hyperlink ref="J289" r:id="rId734" xr:uid="{599BC8C2-B2B2-4E3E-8AF8-2BD91A541373}"/>
    <hyperlink ref="J288" r:id="rId735" xr:uid="{8E3EA696-849F-4EA3-BFC3-982919E145EA}"/>
    <hyperlink ref="J329" r:id="rId736" xr:uid="{89FC20EC-2C77-4CED-948A-AE3770FFB79F}"/>
    <hyperlink ref="J341" r:id="rId737" display="https://www.analog.com/media/en/radiation-information/radiation-reports/OP270S_HDR_generic.pdf" xr:uid="{805B1E34-B526-4AB5-8EBC-5C7DA9CACBA8}"/>
    <hyperlink ref="N341" r:id="rId738" display="https://www.analog.com/media/en/radiation-information/radiation-reports/op270s_dd.pdf" xr:uid="{44C4C14B-4117-4643-BA7F-979681879A7B}"/>
    <hyperlink ref="N375" r:id="rId739" display="https://www.analog.com/media/en/radiation-information/radiation-reports/op470_dd.pdf" xr:uid="{60CA039C-46FE-4CE3-BC68-1C26B38A87B4}"/>
    <hyperlink ref="J375" r:id="rId740" display="RLAT Report_RH1021CMH-5_Fab Lot 10222458.1 (analog.com)" xr:uid="{18464E00-9CA6-4E3C-84CA-0BB9C2AF2D17}"/>
    <hyperlink ref="J385" r:id="rId741" display="https://www.analog.com/media/en/radiation-information/radiation-reports/OP484S_HDR_generic.pdf" xr:uid="{9852A47D-E020-47F7-B31A-0D124B627CF4}"/>
    <hyperlink ref="N385" r:id="rId742" display="https://www.analog.com/media/en/radiation-information/radiation-reports/op484_dd_2e12.pdf" xr:uid="{37F3C153-0805-4547-9643-5D21FE13DF5E}"/>
    <hyperlink ref="J386" r:id="rId743" display="https://www.analog.com/media/en/radiation-information/radiation-reports/OP484S_HDR_generic.pdf" xr:uid="{2473D484-241C-4D05-B75A-E478387C389B}"/>
    <hyperlink ref="N386" r:id="rId744" display="https://www.analog.com/media/en/radiation-information/radiation-reports/op484_dd_2e12.pdf" xr:uid="{C7F87338-CCAE-4D4B-8A33-2BCDA2A6F604}"/>
    <hyperlink ref="J395" r:id="rId745" xr:uid="{33342B90-5155-4987-B105-B93F6973912E}"/>
    <hyperlink ref="J394" r:id="rId746" xr:uid="{F9F4234F-4B62-4B92-9B05-0E072EE7C33F}"/>
    <hyperlink ref="J392" r:id="rId747" xr:uid="{D3293BE9-75E4-423B-8402-DFE3F3FA3B50}"/>
    <hyperlink ref="J407" r:id="rId748" display="https://www.analog.com/media/en/radiation-information/radiation-reports/PM139S_HDR_generic.pdf" xr:uid="{F5F21FBE-1DE0-48BA-A9DD-EB3152AFB54F}"/>
    <hyperlink ref="L544" r:id="rId749" xr:uid="{3F1D724B-2CEE-432C-87BB-672386A66484}"/>
    <hyperlink ref="L543" r:id="rId750" xr:uid="{A35FE7AA-E17B-4628-B59B-2F1EE7ABE95D}"/>
    <hyperlink ref="J543" r:id="rId751" xr:uid="{16B8991F-F600-47D0-8C0C-DDBBCBC360AA}"/>
    <hyperlink ref="J544" r:id="rId752" xr:uid="{8D623BBA-7D22-4DBA-8E9F-DD40F1CFE408}"/>
    <hyperlink ref="J545" r:id="rId753" xr:uid="{9C666735-C3A9-47A3-BD5C-922AA11AE388}"/>
    <hyperlink ref="J290" r:id="rId754" xr:uid="{90E32F1B-0158-4117-A6DB-02D5BC4359B3}"/>
    <hyperlink ref="J291" r:id="rId755" xr:uid="{32D9A52B-F24B-40DE-B25D-6AC19C037775}"/>
  </hyperlinks>
  <pageMargins left="0.7" right="0.7" top="0.75" bottom="0.75" header="0.3" footer="0.3"/>
  <pageSetup orientation="portrait" r:id="rId756"/>
  <drawing r:id="rId757"/>
  <tableParts count="1">
    <tablePart r:id="rId758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20247AEF997849AEF0091A13582871" ma:contentTypeVersion="18" ma:contentTypeDescription="Create a new document." ma:contentTypeScope="" ma:versionID="77139a21815dcbc38071ae92f2dbb951">
  <xsd:schema xmlns:xsd="http://www.w3.org/2001/XMLSchema" xmlns:xs="http://www.w3.org/2001/XMLSchema" xmlns:p="http://schemas.microsoft.com/office/2006/metadata/properties" xmlns:ns2="81b5d332-4050-4cff-818b-32a7d132f18e" xmlns:ns3="2e3ef0e7-8dc2-4aad-bccc-5452f175751b" targetNamespace="http://schemas.microsoft.com/office/2006/metadata/properties" ma:root="true" ma:fieldsID="18d138de55b4178533b54856e840182e" ns2:_="" ns3:_="">
    <xsd:import namespace="81b5d332-4050-4cff-818b-32a7d132f18e"/>
    <xsd:import namespace="2e3ef0e7-8dc2-4aad-bccc-5452f175751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Location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1b5d332-4050-4cff-818b-32a7d132f18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845de00c-9d84-443a-8c85-ac82572830c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Location" ma:index="2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3ef0e7-8dc2-4aad-bccc-5452f175751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b9a33dba-ee3c-4e05-83cb-5d1ce32a94cc}" ma:internalName="TaxCatchAll" ma:showField="CatchAllData" ma:web="2e3ef0e7-8dc2-4aad-bccc-5452f175751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1b5d332-4050-4cff-818b-32a7d132f18e">
      <Terms xmlns="http://schemas.microsoft.com/office/infopath/2007/PartnerControls"/>
    </lcf76f155ced4ddcb4097134ff3c332f>
    <TaxCatchAll xmlns="2e3ef0e7-8dc2-4aad-bccc-5452f175751b" xsi:nil="true"/>
    <SharedWithUsers xmlns="2e3ef0e7-8dc2-4aad-bccc-5452f175751b">
      <UserInfo>
        <DisplayName/>
        <AccountId xsi:nil="true"/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6159ED5A-3132-41EC-87D5-DE6A6CED159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FFEAE70-A72E-414C-B973-9DB85B9215C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1b5d332-4050-4cff-818b-32a7d132f18e"/>
    <ds:schemaRef ds:uri="2e3ef0e7-8dc2-4aad-bccc-5452f175751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DE74CAF-87C5-4480-A4B2-2A2FFFC21D9C}">
  <ds:schemaRefs>
    <ds:schemaRef ds:uri="http://purl.org/dc/elements/1.1/"/>
    <ds:schemaRef ds:uri="http://purl.org/dc/dcmitype/"/>
    <ds:schemaRef ds:uri="http://purl.org/dc/terms/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openxmlformats.org/package/2006/metadata/core-properties"/>
    <ds:schemaRef ds:uri="2e3ef0e7-8dc2-4aad-bccc-5452f175751b"/>
    <ds:schemaRef ds:uri="81b5d332-4050-4cff-818b-32a7d132f18e"/>
    <ds:schemaRef ds:uri="http://schemas.microsoft.com/office/2006/metadata/properties"/>
  </ds:schemaRefs>
</ds:datastoreItem>
</file>

<file path=docMetadata/LabelInfo.xml><?xml version="1.0" encoding="utf-8"?>
<clbl:labelList xmlns:clbl="http://schemas.microsoft.com/office/2020/mipLabelMetadata">
  <clbl:label id="{eaa689b4-8f87-40e0-9c6f-7228de4d754a}" enabled="0" method="" siteId="{eaa689b4-8f87-40e0-9c6f-7228de4d754a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ADI Space Qualified Parts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Bansal, Hitakshi</dc:creator>
  <cp:keywords/>
  <dc:description/>
  <cp:lastModifiedBy>Fine, Eliot</cp:lastModifiedBy>
  <cp:revision/>
  <dcterms:created xsi:type="dcterms:W3CDTF">2024-09-18T18:29:54Z</dcterms:created>
  <dcterms:modified xsi:type="dcterms:W3CDTF">2026-07-28T14:54:33Z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0x010100CD20247AEF997849AEF0091A13582871</vt:lpwstr>
  </property>
  <property fmtid="{D5CDD505-2E9C-101B-9397-08002B2CF9AE}" pid="3" name="MediaServiceImageTags">
    <vt:lpwstr/>
  </property>
  <property fmtid="{D5CDD505-2E9C-101B-9397-08002B2CF9AE}" pid="4" name="xd_ProgID">
    <vt:lpwstr/>
  </property>
  <property fmtid="{D5CDD505-2E9C-101B-9397-08002B2CF9AE}" pid="5" name="ComplianceAssetId">
    <vt:lpwstr/>
  </property>
  <property fmtid="{D5CDD505-2E9C-101B-9397-08002B2CF9AE}" pid="6" name="TemplateUrl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  <property fmtid="{D5CDD505-2E9C-101B-9397-08002B2CF9AE}" pid="9" name="xd_Signature">
    <vt:bool>false</vt:bool>
  </property>
</Properties>
</file>